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Projects\Intern\project-planning\"/>
    </mc:Choice>
  </mc:AlternateContent>
  <xr:revisionPtr revIDLastSave="0" documentId="13_ncr:1_{F09D6E8D-4A2A-4CC9-BF95-179992C06E02}" xr6:coauthVersionLast="46" xr6:coauthVersionMax="46" xr10:uidLastSave="{00000000-0000-0000-0000-000000000000}"/>
  <bookViews>
    <workbookView xWindow="-108" yWindow="-108" windowWidth="30936" windowHeight="16896" activeTab="1" xr2:uid="{F0294ADD-E1AC-4E9A-AAF3-90D58F750741}"/>
  </bookViews>
  <sheets>
    <sheet name="Start" sheetId="5" r:id="rId1"/>
    <sheet name="Import" sheetId="1" r:id="rId2"/>
    <sheet name="CAS" sheetId="2" r:id="rId3"/>
    <sheet name="IOT" sheetId="3" r:id="rId4"/>
  </sheets>
  <functionGroups builtInGroupCount="19"/>
  <definedNames>
    <definedName name="_xlnm._FilterDatabase" localSheetId="2" hidden="1">CAS!$A$1:$O$100</definedName>
    <definedName name="_xlnm._FilterDatabase" localSheetId="3" hidden="1">IOT!$A$1:$L$97</definedName>
    <definedName name="Apl_Val">DATE(CalYear,4,1)</definedName>
    <definedName name="Aug_Val">DATE(CalYear,8,1)</definedName>
    <definedName name="CalYear">Start!$B$1</definedName>
    <definedName name="ColumnTitleRegion1..H9.1">Start!$B$3</definedName>
    <definedName name="ColumnTitleRegion10..P41.1">Start!$J$35</definedName>
    <definedName name="ColumnTitleRegion11..H49.1">Start!$B$43</definedName>
    <definedName name="ColumnTitleRegion12..P49.1">Start!$J$43</definedName>
    <definedName name="ColumnTitleRegion2..P9.1">Start!$J$3</definedName>
    <definedName name="ColumnTitleRegion3..H17.1">Start!$B$11</definedName>
    <definedName name="ColumnTitleRegion4..P17.1">Start!$J$11</definedName>
    <definedName name="ColumnTitleRegion5..H25.1">Start!$B$19</definedName>
    <definedName name="ColumnTitleRegion6..P25.1">Start!$J$19</definedName>
    <definedName name="ColumnTitleRegion7..H33.1">Start!$B$27</definedName>
    <definedName name="ColumnTitleRegion8..P33.1">Start!$J$27</definedName>
    <definedName name="ColumnTitleRegion9..H41.1">Start!$B$35</definedName>
    <definedName name="Days">{0,1,2,3,4,5,6} + {0;1;2;3;4;5}*7</definedName>
    <definedName name="Dec_Val">DATE(CalYear,12,1)</definedName>
    <definedName name="ExterneDaten_1" localSheetId="1" hidden="1">Import!#REF!</definedName>
    <definedName name="Feb_Val">DATE(CalYear,2,1)</definedName>
    <definedName name="Jan_Val">DATE(CalYear,1,1)</definedName>
    <definedName name="July_Val">DATE(CalYear,7,1)</definedName>
    <definedName name="June_Val">DATE(CalYear,6,1)</definedName>
    <definedName name="logexportdata" localSheetId="1">Import!$E$1:$G$34</definedName>
    <definedName name="logexportdata_1" localSheetId="1">Import!#REF!</definedName>
    <definedName name="logexportdata_10" localSheetId="1">Import!#REF!</definedName>
    <definedName name="logexportdata_100" localSheetId="1">Import!#REF!</definedName>
    <definedName name="logexportdata_101" localSheetId="1">Import!#REF!</definedName>
    <definedName name="logexportdata_102" localSheetId="1">Import!#REF!</definedName>
    <definedName name="logexportdata_103" localSheetId="1">Import!#REF!</definedName>
    <definedName name="logexportdata_104" localSheetId="1">Import!#REF!</definedName>
    <definedName name="logexportdata_105" localSheetId="1">Import!#REF!</definedName>
    <definedName name="logexportdata_106" localSheetId="1">Import!#REF!</definedName>
    <definedName name="logexportdata_107" localSheetId="1">Import!#REF!</definedName>
    <definedName name="logexportdata_108" localSheetId="1">Import!#REF!</definedName>
    <definedName name="logexportdata_109" localSheetId="1">Import!#REF!</definedName>
    <definedName name="logexportdata_11" localSheetId="1">Import!#REF!</definedName>
    <definedName name="logexportdata_110" localSheetId="1">Import!#REF!</definedName>
    <definedName name="logexportdata_111" localSheetId="1">Import!#REF!</definedName>
    <definedName name="logexportdata_112" localSheetId="1">Import!#REF!</definedName>
    <definedName name="logexportdata_113" localSheetId="1">Import!#REF!</definedName>
    <definedName name="logexportdata_114" localSheetId="1">Import!#REF!</definedName>
    <definedName name="logexportdata_115" localSheetId="1">Import!#REF!</definedName>
    <definedName name="logexportdata_116" localSheetId="1">Import!#REF!</definedName>
    <definedName name="logexportdata_117" localSheetId="1">Import!#REF!</definedName>
    <definedName name="logexportdata_118" localSheetId="1">Import!#REF!</definedName>
    <definedName name="logexportdata_119" localSheetId="1">Import!#REF!</definedName>
    <definedName name="logexportdata_12" localSheetId="1">Import!#REF!</definedName>
    <definedName name="logexportdata_120" localSheetId="1">Import!#REF!</definedName>
    <definedName name="logexportdata_121" localSheetId="1">Import!#REF!</definedName>
    <definedName name="logexportdata_122" localSheetId="1">Import!#REF!</definedName>
    <definedName name="logexportdata_123" localSheetId="1">Import!#REF!</definedName>
    <definedName name="logexportdata_124" localSheetId="1">Import!#REF!</definedName>
    <definedName name="logexportdata_125" localSheetId="1">Import!#REF!</definedName>
    <definedName name="logexportdata_126" localSheetId="1">Import!#REF!</definedName>
    <definedName name="logexportdata_127" localSheetId="1">Import!#REF!</definedName>
    <definedName name="logexportdata_128" localSheetId="1">Import!#REF!</definedName>
    <definedName name="logexportdata_129" localSheetId="1">Import!#REF!</definedName>
    <definedName name="logexportdata_13" localSheetId="1">Import!#REF!</definedName>
    <definedName name="logexportdata_130" localSheetId="1">Import!#REF!</definedName>
    <definedName name="logexportdata_131" localSheetId="1">Import!#REF!</definedName>
    <definedName name="logexportdata_132" localSheetId="1">Import!#REF!</definedName>
    <definedName name="logexportdata_133" localSheetId="1">Import!#REF!</definedName>
    <definedName name="logexportdata_134" localSheetId="1">Import!#REF!</definedName>
    <definedName name="logexportdata_135" localSheetId="1">Import!#REF!</definedName>
    <definedName name="logexportdata_136" localSheetId="1">Import!#REF!</definedName>
    <definedName name="logexportdata_137" localSheetId="1">Import!#REF!</definedName>
    <definedName name="logexportdata_138" localSheetId="1">Import!#REF!</definedName>
    <definedName name="logexportdata_139" localSheetId="1">Import!#REF!</definedName>
    <definedName name="logexportdata_14" localSheetId="1">Import!#REF!</definedName>
    <definedName name="logexportdata_140" localSheetId="1">Import!#REF!</definedName>
    <definedName name="logexportdata_141" localSheetId="1">Import!#REF!</definedName>
    <definedName name="logexportdata_142" localSheetId="1">Import!#REF!</definedName>
    <definedName name="logexportdata_143" localSheetId="1">Import!#REF!</definedName>
    <definedName name="logexportdata_144" localSheetId="1">Import!#REF!</definedName>
    <definedName name="logexportdata_145" localSheetId="1">Import!#REF!</definedName>
    <definedName name="logexportdata_146" localSheetId="1">Import!#REF!</definedName>
    <definedName name="logexportdata_147" localSheetId="1">Import!#REF!</definedName>
    <definedName name="logexportdata_148" localSheetId="1">Import!#REF!</definedName>
    <definedName name="logexportdata_149" localSheetId="1">Import!#REF!</definedName>
    <definedName name="logexportdata_15" localSheetId="1">Import!#REF!</definedName>
    <definedName name="logexportdata_150" localSheetId="1">Import!#REF!</definedName>
    <definedName name="logexportdata_151" localSheetId="1">Import!#REF!</definedName>
    <definedName name="logexportdata_152" localSheetId="1">Import!#REF!</definedName>
    <definedName name="logexportdata_153" localSheetId="1">Import!#REF!</definedName>
    <definedName name="logexportdata_154" localSheetId="1">Import!#REF!</definedName>
    <definedName name="logexportdata_155" localSheetId="1">Import!#REF!</definedName>
    <definedName name="logexportdata_156" localSheetId="1">Import!#REF!</definedName>
    <definedName name="logexportdata_157" localSheetId="1">Import!#REF!</definedName>
    <definedName name="logexportdata_158" localSheetId="1">Import!#REF!</definedName>
    <definedName name="logexportdata_159" localSheetId="1">Import!#REF!</definedName>
    <definedName name="logexportdata_16" localSheetId="1">Import!#REF!</definedName>
    <definedName name="logexportdata_160" localSheetId="1">Import!#REF!</definedName>
    <definedName name="logexportdata_161" localSheetId="1">Import!#REF!</definedName>
    <definedName name="logexportdata_162" localSheetId="1">Import!#REF!</definedName>
    <definedName name="logexportdata_163" localSheetId="1">Import!#REF!</definedName>
    <definedName name="logexportdata_164" localSheetId="1">Import!#REF!</definedName>
    <definedName name="logexportdata_165" localSheetId="1">Import!#REF!</definedName>
    <definedName name="logexportdata_166" localSheetId="1">Import!#REF!</definedName>
    <definedName name="logexportdata_167" localSheetId="1">Import!#REF!</definedName>
    <definedName name="logexportdata_168" localSheetId="1">Import!#REF!</definedName>
    <definedName name="logexportdata_169" localSheetId="1">Import!#REF!</definedName>
    <definedName name="logexportdata_17" localSheetId="1">Import!#REF!</definedName>
    <definedName name="logexportdata_170" localSheetId="1">Import!#REF!</definedName>
    <definedName name="logexportdata_171" localSheetId="1">Import!#REF!</definedName>
    <definedName name="logexportdata_172" localSheetId="1">Import!#REF!</definedName>
    <definedName name="logexportdata_173" localSheetId="1">Import!#REF!</definedName>
    <definedName name="logexportdata_174" localSheetId="1">Import!#REF!</definedName>
    <definedName name="logexportdata_18" localSheetId="1">Import!#REF!</definedName>
    <definedName name="logexportdata_19" localSheetId="1">Import!#REF!</definedName>
    <definedName name="logexportdata_2" localSheetId="1">Import!#REF!</definedName>
    <definedName name="logexportdata_20" localSheetId="1">Import!#REF!</definedName>
    <definedName name="logexportdata_21" localSheetId="1">Import!#REF!</definedName>
    <definedName name="logexportdata_22" localSheetId="1">Import!#REF!</definedName>
    <definedName name="logexportdata_23" localSheetId="1">Import!#REF!</definedName>
    <definedName name="logexportdata_24" localSheetId="1">Import!#REF!</definedName>
    <definedName name="logexportdata_25" localSheetId="1">Import!#REF!</definedName>
    <definedName name="logexportdata_26" localSheetId="1">Import!#REF!</definedName>
    <definedName name="logexportdata_27" localSheetId="1">Import!#REF!</definedName>
    <definedName name="logexportdata_28" localSheetId="1">Import!#REF!</definedName>
    <definedName name="logexportdata_29" localSheetId="1">Import!#REF!</definedName>
    <definedName name="logexportdata_3" localSheetId="1">Import!#REF!</definedName>
    <definedName name="logexportdata_30" localSheetId="1">Import!#REF!</definedName>
    <definedName name="logexportdata_31" localSheetId="1">Import!#REF!</definedName>
    <definedName name="logexportdata_32" localSheetId="1">Import!#REF!</definedName>
    <definedName name="logexportdata_33" localSheetId="1">Import!#REF!</definedName>
    <definedName name="logexportdata_34" localSheetId="1">Import!#REF!</definedName>
    <definedName name="logexportdata_35" localSheetId="1">Import!#REF!</definedName>
    <definedName name="logexportdata_36" localSheetId="1">Import!#REF!</definedName>
    <definedName name="logexportdata_37" localSheetId="1">Import!#REF!</definedName>
    <definedName name="logexportdata_38" localSheetId="1">Import!#REF!</definedName>
    <definedName name="logexportdata_39" localSheetId="1">Import!#REF!</definedName>
    <definedName name="logexportdata_4" localSheetId="1">Import!#REF!</definedName>
    <definedName name="logexportdata_40" localSheetId="1">Import!#REF!</definedName>
    <definedName name="logexportdata_41" localSheetId="1">Import!#REF!</definedName>
    <definedName name="logexportdata_42" localSheetId="1">Import!#REF!</definedName>
    <definedName name="logexportdata_43" localSheetId="1">Import!#REF!</definedName>
    <definedName name="logexportdata_44" localSheetId="1">Import!#REF!</definedName>
    <definedName name="logexportdata_45" localSheetId="1">Import!#REF!</definedName>
    <definedName name="logexportdata_46" localSheetId="1">Import!#REF!</definedName>
    <definedName name="logexportdata_47" localSheetId="1">Import!#REF!</definedName>
    <definedName name="logexportdata_48" localSheetId="1">Import!#REF!</definedName>
    <definedName name="logexportdata_49" localSheetId="1">Import!#REF!</definedName>
    <definedName name="logexportdata_5" localSheetId="1">Import!#REF!</definedName>
    <definedName name="logexportdata_50" localSheetId="1">Import!#REF!</definedName>
    <definedName name="logexportdata_51" localSheetId="1">Import!#REF!</definedName>
    <definedName name="logexportdata_52" localSheetId="1">Import!#REF!</definedName>
    <definedName name="logexportdata_53" localSheetId="1">Import!#REF!</definedName>
    <definedName name="logexportdata_54" localSheetId="1">Import!#REF!</definedName>
    <definedName name="logexportdata_55" localSheetId="1">Import!#REF!</definedName>
    <definedName name="logexportdata_56" localSheetId="1">Import!#REF!</definedName>
    <definedName name="logexportdata_57" localSheetId="1">Import!#REF!</definedName>
    <definedName name="logexportdata_58" localSheetId="1">Import!#REF!</definedName>
    <definedName name="logexportdata_59" localSheetId="1">Import!#REF!</definedName>
    <definedName name="logexportdata_6" localSheetId="1">Import!#REF!</definedName>
    <definedName name="logexportdata_60" localSheetId="1">Import!#REF!</definedName>
    <definedName name="logexportdata_61" localSheetId="1">Import!#REF!</definedName>
    <definedName name="logexportdata_62" localSheetId="1">Import!#REF!</definedName>
    <definedName name="logexportdata_63" localSheetId="1">Import!#REF!</definedName>
    <definedName name="logexportdata_64" localSheetId="1">Import!#REF!</definedName>
    <definedName name="logexportdata_65" localSheetId="1">Import!#REF!</definedName>
    <definedName name="logexportdata_66" localSheetId="1">Import!#REF!</definedName>
    <definedName name="logexportdata_67" localSheetId="1">Import!#REF!</definedName>
    <definedName name="logexportdata_68" localSheetId="1">Import!#REF!</definedName>
    <definedName name="logexportdata_69" localSheetId="1">Import!#REF!</definedName>
    <definedName name="logexportdata_7" localSheetId="1">Import!#REF!</definedName>
    <definedName name="logexportdata_70" localSheetId="1">Import!#REF!</definedName>
    <definedName name="logexportdata_71" localSheetId="1">Import!#REF!</definedName>
    <definedName name="logexportdata_72" localSheetId="1">Import!#REF!</definedName>
    <definedName name="logexportdata_73" localSheetId="1">Import!#REF!</definedName>
    <definedName name="logexportdata_74" localSheetId="1">Import!#REF!</definedName>
    <definedName name="logexportdata_75" localSheetId="1">Import!#REF!</definedName>
    <definedName name="logexportdata_76" localSheetId="1">Import!#REF!</definedName>
    <definedName name="logexportdata_77" localSheetId="1">Import!#REF!</definedName>
    <definedName name="logexportdata_78" localSheetId="1">Import!#REF!</definedName>
    <definedName name="logexportdata_79" localSheetId="1">Import!#REF!</definedName>
    <definedName name="logexportdata_8" localSheetId="1">Import!#REF!</definedName>
    <definedName name="logexportdata_80" localSheetId="1">Import!#REF!</definedName>
    <definedName name="logexportdata_81" localSheetId="1">Import!#REF!</definedName>
    <definedName name="logexportdata_82" localSheetId="1">Import!#REF!</definedName>
    <definedName name="logexportdata_83" localSheetId="1">Import!#REF!</definedName>
    <definedName name="logexportdata_84" localSheetId="1">Import!#REF!</definedName>
    <definedName name="logexportdata_85" localSheetId="1">Import!#REF!</definedName>
    <definedName name="logexportdata_86" localSheetId="1">Import!#REF!</definedName>
    <definedName name="logexportdata_87" localSheetId="1">Import!#REF!</definedName>
    <definedName name="logexportdata_88" localSheetId="1">Import!#REF!</definedName>
    <definedName name="logexportdata_89" localSheetId="1">Import!#REF!</definedName>
    <definedName name="logexportdata_9" localSheetId="1">Import!#REF!</definedName>
    <definedName name="logexportdata_90" localSheetId="1">Import!#REF!</definedName>
    <definedName name="logexportdata_91" localSheetId="1">Import!#REF!</definedName>
    <definedName name="logexportdata_92" localSheetId="1">Import!#REF!</definedName>
    <definedName name="logexportdata_93" localSheetId="1">Import!#REF!</definedName>
    <definedName name="logexportdata_94" localSheetId="1">Import!#REF!</definedName>
    <definedName name="logexportdata_95" localSheetId="1">Import!#REF!</definedName>
    <definedName name="logexportdata_96" localSheetId="1">Import!#REF!</definedName>
    <definedName name="logexportdata_97" localSheetId="1">Import!#REF!</definedName>
    <definedName name="logexportdata_98" localSheetId="1">Import!#REF!</definedName>
    <definedName name="logexportdata_99" localSheetId="1">Import!#REF!</definedName>
    <definedName name="Mar_Val">DATE(CalYear,3,1)</definedName>
    <definedName name="May_Val">DATE(CalYear,5,1)</definedName>
    <definedName name="Nov_Val">DATE(CalYear,11,1)</definedName>
    <definedName name="Oct_Val">DATE(CalYear,10,1)</definedName>
    <definedName name="Sep_Val">DATE(CalYear,9,1)</definedName>
    <definedName name="WeekStart">"Monday"</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gesaktivitäten 70f9e132b9e9416a8e9c32639baa9bad  2_43028544-3b83-41f3-a4fa-94acc97b0ab5" name="Tagesaktivitäten 70f9e132b9e9416a8e9c32639baa9bad  2" connection="Abfrage - Tagesaktivitäten 70f9e132b9e9416a8e9c32639baa9bad (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51" i="2" l="1"/>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B1" i="5"/>
  <c r="B39" i="5" s="1" a="1"/>
  <c r="B3" i="5"/>
  <c r="C3" i="5"/>
  <c r="D3" i="5"/>
  <c r="E3" i="5"/>
  <c r="F3" i="5"/>
  <c r="G3" i="5"/>
  <c r="H3" i="5"/>
  <c r="J3" i="5"/>
  <c r="K3" i="5"/>
  <c r="L3" i="5"/>
  <c r="M3" i="5"/>
  <c r="N3" i="5"/>
  <c r="O3" i="5"/>
  <c r="P3" i="5"/>
  <c r="B11" i="5"/>
  <c r="C11" i="5"/>
  <c r="D11" i="5"/>
  <c r="E11" i="5"/>
  <c r="F11" i="5"/>
  <c r="G11" i="5"/>
  <c r="H11" i="5"/>
  <c r="J11" i="5"/>
  <c r="K11" i="5"/>
  <c r="L11" i="5"/>
  <c r="M11" i="5"/>
  <c r="N11" i="5"/>
  <c r="O11" i="5"/>
  <c r="P11" i="5"/>
  <c r="B19" i="5"/>
  <c r="C19" i="5"/>
  <c r="D19" i="5"/>
  <c r="E19" i="5"/>
  <c r="F19" i="5"/>
  <c r="G19" i="5"/>
  <c r="H19" i="5"/>
  <c r="J19" i="5"/>
  <c r="K19" i="5"/>
  <c r="L19" i="5"/>
  <c r="M19" i="5"/>
  <c r="N19" i="5"/>
  <c r="O19" i="5"/>
  <c r="P19" i="5"/>
  <c r="B27" i="5"/>
  <c r="C27" i="5"/>
  <c r="D27" i="5"/>
  <c r="E27" i="5"/>
  <c r="F27" i="5"/>
  <c r="G27" i="5"/>
  <c r="H27" i="5"/>
  <c r="J27" i="5"/>
  <c r="K27" i="5"/>
  <c r="L27" i="5"/>
  <c r="M27" i="5"/>
  <c r="N27" i="5"/>
  <c r="O27" i="5"/>
  <c r="P27" i="5"/>
  <c r="B35" i="5"/>
  <c r="C35" i="5"/>
  <c r="D35" i="5"/>
  <c r="E35" i="5"/>
  <c r="F35" i="5"/>
  <c r="G35" i="5"/>
  <c r="H35" i="5"/>
  <c r="J35" i="5"/>
  <c r="K35" i="5"/>
  <c r="L35" i="5"/>
  <c r="M35" i="5"/>
  <c r="N35" i="5"/>
  <c r="O35" i="5"/>
  <c r="P35" i="5"/>
  <c r="B43" i="5"/>
  <c r="C43" i="5"/>
  <c r="D43" i="5"/>
  <c r="E43" i="5"/>
  <c r="F43" i="5"/>
  <c r="G43" i="5"/>
  <c r="H43" i="5"/>
  <c r="J43" i="5"/>
  <c r="K43" i="5"/>
  <c r="L43" i="5"/>
  <c r="M43" i="5"/>
  <c r="N43" i="5"/>
  <c r="O43" i="5"/>
  <c r="P43" i="5"/>
  <c r="B44" i="5" l="1" a="1"/>
  <c r="D44" i="5" s="1"/>
  <c r="B49" i="5" a="1"/>
  <c r="D49" i="5" s="1"/>
  <c r="B30" i="5" a="1"/>
  <c r="B30" i="5" s="1"/>
  <c r="J23" i="5" a="1"/>
  <c r="K23" i="5" s="1"/>
  <c r="B38" i="5" a="1"/>
  <c r="D38" i="5" s="1"/>
  <c r="B47" i="5" a="1"/>
  <c r="D47" i="5" s="1"/>
  <c r="J46" i="5" a="1"/>
  <c r="J46" i="5" s="1"/>
  <c r="B42" i="5"/>
  <c r="B25" i="5" a="1"/>
  <c r="C25" i="5" s="1"/>
  <c r="J16" i="5" a="1"/>
  <c r="K16" i="5" s="1"/>
  <c r="J44" i="5" a="1"/>
  <c r="K44" i="5" s="1"/>
  <c r="J42" i="5"/>
  <c r="J9" i="5" a="1"/>
  <c r="O9" i="5" s="1"/>
  <c r="J40" i="5" a="1"/>
  <c r="K40" i="5" s="1"/>
  <c r="J48" i="5" a="1"/>
  <c r="M48" i="5" s="1"/>
  <c r="B46" i="5" a="1"/>
  <c r="C46" i="5" s="1"/>
  <c r="B37" i="5" a="1"/>
  <c r="D37" i="5" s="1"/>
  <c r="B33" i="5" a="1"/>
  <c r="D33" i="5" s="1"/>
  <c r="J22" i="5" a="1"/>
  <c r="K22" i="5" s="1"/>
  <c r="B13" i="5" a="1"/>
  <c r="G13" i="5" s="1"/>
  <c r="J8" i="5" a="1"/>
  <c r="O8" i="5" s="1"/>
  <c r="B48" i="5" a="1"/>
  <c r="H48" i="5" s="1"/>
  <c r="B45" i="5" a="1"/>
  <c r="D45" i="5" s="1"/>
  <c r="B40" i="5" a="1"/>
  <c r="D40" i="5" s="1"/>
  <c r="J36" i="5" a="1"/>
  <c r="L36" i="5" s="1"/>
  <c r="J32" i="5" a="1"/>
  <c r="L32" i="5" s="1"/>
  <c r="B10" i="5"/>
  <c r="J34" i="5"/>
  <c r="J31" i="5" a="1"/>
  <c r="L31" i="5" s="1"/>
  <c r="B29" i="5" a="1"/>
  <c r="G29" i="5" s="1"/>
  <c r="B21" i="5" a="1"/>
  <c r="C21" i="5" s="1"/>
  <c r="B14" i="5" a="1"/>
  <c r="H14" i="5" s="1"/>
  <c r="B5" i="5" a="1"/>
  <c r="C5" i="5" s="1"/>
  <c r="J49" i="5" a="1"/>
  <c r="J49" i="5" s="1"/>
  <c r="J47" i="5" a="1"/>
  <c r="L47" i="5" s="1"/>
  <c r="J45" i="5" a="1"/>
  <c r="L45" i="5" s="1"/>
  <c r="B41" i="5" a="1"/>
  <c r="D41" i="5" s="1"/>
  <c r="J38" i="5" a="1"/>
  <c r="L38" i="5" s="1"/>
  <c r="B36" i="5" a="1"/>
  <c r="B36" i="5" s="1"/>
  <c r="B34" i="5"/>
  <c r="J30" i="5" a="1"/>
  <c r="L30" i="5" s="1"/>
  <c r="J24" i="5" a="1"/>
  <c r="K24" i="5" s="1"/>
  <c r="J13" i="5" a="1"/>
  <c r="K13" i="5" s="1"/>
  <c r="B24" i="5" a="1"/>
  <c r="C24" i="5" s="1"/>
  <c r="J20" i="5" a="1"/>
  <c r="K20" i="5" s="1"/>
  <c r="B15" i="5" a="1"/>
  <c r="G15" i="5" s="1"/>
  <c r="B12" i="5" a="1"/>
  <c r="G12" i="5" s="1"/>
  <c r="J6" i="5" a="1"/>
  <c r="K6" i="5" s="1"/>
  <c r="B9" i="5" a="1"/>
  <c r="C9" i="5" s="1"/>
  <c r="B4" i="5" a="1"/>
  <c r="C4" i="5" s="1"/>
  <c r="J2" i="5"/>
  <c r="B26" i="5"/>
  <c r="B23" i="5" a="1"/>
  <c r="D23" i="5" s="1"/>
  <c r="B22" i="5" a="1"/>
  <c r="B22" i="5" s="1"/>
  <c r="B18" i="5"/>
  <c r="J17" i="5" a="1"/>
  <c r="N17" i="5" s="1"/>
  <c r="B16" i="5" a="1"/>
  <c r="H16" i="5" s="1"/>
  <c r="B8" i="5" a="1"/>
  <c r="C8" i="5" s="1"/>
  <c r="J41" i="5" a="1"/>
  <c r="L41" i="5" s="1"/>
  <c r="J39" i="5" a="1"/>
  <c r="L39" i="5" s="1"/>
  <c r="J37" i="5" a="1"/>
  <c r="K37" i="5" s="1"/>
  <c r="J33" i="5" a="1"/>
  <c r="L33" i="5" s="1"/>
  <c r="B32" i="5" a="1"/>
  <c r="B32" i="5" s="1"/>
  <c r="B31" i="5" a="1"/>
  <c r="D31" i="5" s="1"/>
  <c r="J29" i="5" a="1"/>
  <c r="K29" i="5" s="1"/>
  <c r="J28" i="5" a="1"/>
  <c r="K28" i="5" s="1"/>
  <c r="B28" i="5" a="1"/>
  <c r="H28" i="5" s="1"/>
  <c r="J25" i="5" a="1"/>
  <c r="K25" i="5" s="1"/>
  <c r="J21" i="5" a="1"/>
  <c r="K21" i="5" s="1"/>
  <c r="B20" i="5" a="1"/>
  <c r="B17" i="5" a="1"/>
  <c r="G17" i="5" s="1"/>
  <c r="J15" i="5" a="1"/>
  <c r="K15" i="5" s="1"/>
  <c r="J14" i="5" a="1"/>
  <c r="J14" i="5" s="1"/>
  <c r="J12" i="5" a="1"/>
  <c r="M12" i="5" s="1"/>
  <c r="J5" i="5" a="1"/>
  <c r="M5" i="5" s="1"/>
  <c r="B7" i="5" a="1"/>
  <c r="F7" i="5" s="1"/>
  <c r="J4" i="5" a="1"/>
  <c r="J4" i="5" s="1"/>
  <c r="J7" i="5" a="1"/>
  <c r="J7" i="5" s="1"/>
  <c r="B6" i="5" a="1"/>
  <c r="D6" i="5" s="1"/>
  <c r="B2" i="5"/>
  <c r="B39" i="5"/>
  <c r="F39" i="5"/>
  <c r="C39" i="5"/>
  <c r="G39" i="5"/>
  <c r="E39" i="5"/>
  <c r="D39" i="5"/>
  <c r="H39" i="5"/>
  <c r="J26" i="5"/>
  <c r="J18" i="5"/>
  <c r="J10" i="5"/>
  <c r="O3" i="2"/>
  <c r="O4" i="2"/>
  <c r="O5" i="2"/>
  <c r="O6" i="2"/>
  <c r="O7" i="2"/>
  <c r="O8" i="2"/>
  <c r="O9" i="2"/>
  <c r="O10" i="2"/>
  <c r="O11" i="2"/>
  <c r="O12" i="2"/>
  <c r="O13" i="2"/>
  <c r="O14" i="2"/>
  <c r="O15" i="2"/>
  <c r="O16" i="2"/>
  <c r="O17" i="2"/>
  <c r="O18" i="2"/>
  <c r="O19" i="2"/>
  <c r="O20" i="2"/>
  <c r="O21" i="2"/>
  <c r="E44" i="5" l="1"/>
  <c r="C44" i="5"/>
  <c r="F44" i="5"/>
  <c r="H44" i="5"/>
  <c r="G44" i="5"/>
  <c r="B49" i="5"/>
  <c r="J8" i="5"/>
  <c r="E49" i="5"/>
  <c r="H49" i="5"/>
  <c r="C49" i="5"/>
  <c r="F49" i="5"/>
  <c r="B44" i="5"/>
  <c r="G49" i="5"/>
  <c r="G30" i="5"/>
  <c r="P44" i="5"/>
  <c r="H30" i="5"/>
  <c r="F30" i="5"/>
  <c r="M44" i="5"/>
  <c r="H36" i="5"/>
  <c r="G36" i="5"/>
  <c r="N44" i="5"/>
  <c r="D12" i="5"/>
  <c r="P8" i="5"/>
  <c r="L13" i="5"/>
  <c r="E12" i="5"/>
  <c r="F4" i="5"/>
  <c r="F14" i="5"/>
  <c r="E46" i="5"/>
  <c r="H40" i="5"/>
  <c r="N29" i="5"/>
  <c r="P23" i="5"/>
  <c r="D13" i="5"/>
  <c r="B46" i="5"/>
  <c r="H13" i="5"/>
  <c r="C40" i="5"/>
  <c r="J45" i="5"/>
  <c r="M23" i="5"/>
  <c r="N23" i="5"/>
  <c r="F46" i="5"/>
  <c r="F40" i="5"/>
  <c r="J23" i="5"/>
  <c r="B40" i="5"/>
  <c r="B13" i="5"/>
  <c r="D46" i="5"/>
  <c r="E40" i="5"/>
  <c r="G46" i="5"/>
  <c r="L23" i="5"/>
  <c r="P45" i="5"/>
  <c r="G40" i="5"/>
  <c r="H46" i="5"/>
  <c r="N45" i="5"/>
  <c r="C14" i="5"/>
  <c r="O23" i="5"/>
  <c r="C12" i="5"/>
  <c r="P22" i="5"/>
  <c r="F21" i="5"/>
  <c r="F12" i="5"/>
  <c r="F45" i="5"/>
  <c r="D36" i="5"/>
  <c r="O46" i="5"/>
  <c r="F36" i="5"/>
  <c r="J44" i="5"/>
  <c r="D30" i="5"/>
  <c r="E30" i="5"/>
  <c r="G21" i="5"/>
  <c r="B12" i="5"/>
  <c r="B45" i="5"/>
  <c r="K46" i="5"/>
  <c r="O44" i="5"/>
  <c r="P46" i="5"/>
  <c r="N48" i="5"/>
  <c r="C30" i="5"/>
  <c r="L44" i="5"/>
  <c r="P48" i="5"/>
  <c r="E21" i="5"/>
  <c r="D4" i="5"/>
  <c r="O37" i="5"/>
  <c r="B4" i="5"/>
  <c r="J29" i="5"/>
  <c r="N37" i="5"/>
  <c r="E4" i="5"/>
  <c r="G4" i="5"/>
  <c r="B25" i="5"/>
  <c r="G38" i="5"/>
  <c r="P16" i="5"/>
  <c r="L29" i="5"/>
  <c r="C37" i="5"/>
  <c r="C38" i="5"/>
  <c r="L37" i="5"/>
  <c r="B9" i="5"/>
  <c r="J24" i="5"/>
  <c r="N9" i="5"/>
  <c r="P36" i="5"/>
  <c r="C47" i="5"/>
  <c r="F37" i="5"/>
  <c r="K36" i="5"/>
  <c r="F38" i="5"/>
  <c r="E37" i="5"/>
  <c r="M40" i="5"/>
  <c r="P9" i="5"/>
  <c r="H29" i="5"/>
  <c r="C33" i="5"/>
  <c r="N40" i="5"/>
  <c r="D29" i="5"/>
  <c r="M9" i="5"/>
  <c r="E25" i="5"/>
  <c r="F25" i="5"/>
  <c r="H38" i="5"/>
  <c r="N36" i="5"/>
  <c r="E38" i="5"/>
  <c r="G48" i="5"/>
  <c r="M30" i="5"/>
  <c r="L8" i="5"/>
  <c r="H47" i="5"/>
  <c r="M8" i="5"/>
  <c r="J16" i="5"/>
  <c r="J9" i="5"/>
  <c r="H37" i="5"/>
  <c r="P40" i="5"/>
  <c r="B37" i="5"/>
  <c r="J32" i="5"/>
  <c r="B33" i="5"/>
  <c r="J36" i="5"/>
  <c r="B38" i="5"/>
  <c r="E14" i="5"/>
  <c r="B14" i="5"/>
  <c r="O40" i="5"/>
  <c r="E33" i="5"/>
  <c r="L16" i="5"/>
  <c r="K8" i="5"/>
  <c r="K9" i="5"/>
  <c r="L9" i="5"/>
  <c r="D25" i="5"/>
  <c r="N16" i="5"/>
  <c r="J31" i="5"/>
  <c r="F33" i="5"/>
  <c r="L40" i="5"/>
  <c r="E47" i="5"/>
  <c r="J40" i="5"/>
  <c r="B47" i="5"/>
  <c r="M16" i="5"/>
  <c r="N8" i="5"/>
  <c r="B24" i="5"/>
  <c r="G14" i="5"/>
  <c r="H33" i="5"/>
  <c r="G47" i="5"/>
  <c r="G37" i="5"/>
  <c r="G33" i="5"/>
  <c r="O36" i="5"/>
  <c r="O45" i="5"/>
  <c r="D14" i="5"/>
  <c r="M36" i="5"/>
  <c r="M45" i="5"/>
  <c r="F47" i="5"/>
  <c r="O16" i="5"/>
  <c r="G25" i="5"/>
  <c r="H25" i="5"/>
  <c r="F24" i="5"/>
  <c r="J38" i="5"/>
  <c r="C13" i="5"/>
  <c r="F15" i="5"/>
  <c r="K39" i="5"/>
  <c r="K49" i="5"/>
  <c r="F29" i="5"/>
  <c r="L24" i="5"/>
  <c r="C15" i="5"/>
  <c r="H45" i="5"/>
  <c r="C45" i="5"/>
  <c r="E13" i="5"/>
  <c r="F13" i="5"/>
  <c r="C17" i="5"/>
  <c r="N22" i="5"/>
  <c r="D8" i="5"/>
  <c r="L22" i="5"/>
  <c r="O32" i="5"/>
  <c r="D48" i="5"/>
  <c r="M32" i="5"/>
  <c r="N46" i="5"/>
  <c r="P32" i="5"/>
  <c r="O22" i="5"/>
  <c r="B5" i="5"/>
  <c r="J22" i="5"/>
  <c r="J25" i="5"/>
  <c r="O38" i="5"/>
  <c r="E15" i="5"/>
  <c r="N30" i="5"/>
  <c r="N32" i="5"/>
  <c r="K45" i="5"/>
  <c r="O48" i="5"/>
  <c r="F16" i="5"/>
  <c r="L46" i="5"/>
  <c r="M22" i="5"/>
  <c r="M46" i="5"/>
  <c r="L6" i="5"/>
  <c r="J30" i="5"/>
  <c r="F8" i="5"/>
  <c r="J20" i="5"/>
  <c r="J13" i="5"/>
  <c r="B29" i="5"/>
  <c r="P38" i="5"/>
  <c r="H41" i="5"/>
  <c r="F48" i="5"/>
  <c r="K38" i="5"/>
  <c r="G45" i="5"/>
  <c r="D15" i="5"/>
  <c r="B15" i="5"/>
  <c r="O31" i="5"/>
  <c r="K32" i="5"/>
  <c r="F41" i="5"/>
  <c r="K48" i="5"/>
  <c r="E45" i="5"/>
  <c r="E48" i="5"/>
  <c r="C48" i="5"/>
  <c r="O24" i="5"/>
  <c r="L48" i="5"/>
  <c r="G9" i="5"/>
  <c r="J48" i="5"/>
  <c r="P49" i="5"/>
  <c r="N49" i="5"/>
  <c r="B48" i="5"/>
  <c r="K41" i="5"/>
  <c r="F9" i="5"/>
  <c r="N24" i="5"/>
  <c r="H9" i="5"/>
  <c r="P24" i="5"/>
  <c r="L20" i="5"/>
  <c r="N38" i="5"/>
  <c r="H15" i="5"/>
  <c r="K31" i="5"/>
  <c r="B41" i="5"/>
  <c r="O49" i="5"/>
  <c r="M38" i="5"/>
  <c r="E41" i="5"/>
  <c r="M24" i="5"/>
  <c r="O15" i="5"/>
  <c r="L49" i="5"/>
  <c r="M49" i="5"/>
  <c r="J21" i="5"/>
  <c r="H5" i="5"/>
  <c r="B23" i="5"/>
  <c r="P37" i="5"/>
  <c r="O30" i="5"/>
  <c r="C31" i="5"/>
  <c r="N31" i="5"/>
  <c r="G41" i="5"/>
  <c r="O29" i="5"/>
  <c r="E16" i="5"/>
  <c r="M37" i="5"/>
  <c r="M39" i="5"/>
  <c r="J37" i="5"/>
  <c r="H23" i="5"/>
  <c r="H31" i="5"/>
  <c r="E5" i="5"/>
  <c r="P29" i="5"/>
  <c r="F5" i="5"/>
  <c r="H7" i="5"/>
  <c r="P25" i="5"/>
  <c r="D5" i="5"/>
  <c r="K30" i="5"/>
  <c r="F31" i="5"/>
  <c r="C41" i="5"/>
  <c r="G5" i="5"/>
  <c r="D24" i="5"/>
  <c r="G24" i="5"/>
  <c r="O39" i="5"/>
  <c r="E31" i="5"/>
  <c r="H24" i="5"/>
  <c r="P30" i="5"/>
  <c r="E23" i="5"/>
  <c r="E24" i="5"/>
  <c r="N5" i="5"/>
  <c r="K47" i="5"/>
  <c r="J47" i="5"/>
  <c r="M31" i="5"/>
  <c r="N21" i="5"/>
  <c r="N25" i="5"/>
  <c r="N13" i="5"/>
  <c r="P21" i="5"/>
  <c r="L21" i="5"/>
  <c r="B31" i="5"/>
  <c r="E36" i="5"/>
  <c r="C36" i="5"/>
  <c r="L15" i="5"/>
  <c r="M20" i="5"/>
  <c r="M13" i="5"/>
  <c r="M47" i="5"/>
  <c r="O33" i="5"/>
  <c r="O47" i="5"/>
  <c r="B8" i="5"/>
  <c r="H12" i="5"/>
  <c r="H4" i="5"/>
  <c r="J12" i="5"/>
  <c r="N6" i="5"/>
  <c r="D9" i="5"/>
  <c r="P13" i="5"/>
  <c r="B21" i="5"/>
  <c r="P33" i="5"/>
  <c r="P39" i="5"/>
  <c r="P41" i="5"/>
  <c r="N41" i="5"/>
  <c r="B17" i="5"/>
  <c r="J39" i="5"/>
  <c r="C16" i="5"/>
  <c r="M25" i="5"/>
  <c r="E9" i="5"/>
  <c r="P6" i="5"/>
  <c r="H21" i="5"/>
  <c r="D21" i="5"/>
  <c r="N47" i="5"/>
  <c r="P31" i="5"/>
  <c r="P47" i="5"/>
  <c r="C29" i="5"/>
  <c r="E29" i="5"/>
  <c r="F6" i="5"/>
  <c r="H6" i="5"/>
  <c r="E17" i="5"/>
  <c r="O13" i="5"/>
  <c r="J6" i="5"/>
  <c r="P12" i="5"/>
  <c r="P17" i="5"/>
  <c r="F17" i="5"/>
  <c r="O28" i="5"/>
  <c r="O21" i="5"/>
  <c r="M6" i="5"/>
  <c r="J17" i="5"/>
  <c r="L28" i="5"/>
  <c r="O20" i="5"/>
  <c r="N20" i="5"/>
  <c r="N12" i="5"/>
  <c r="N15" i="5"/>
  <c r="P20" i="5"/>
  <c r="J5" i="5"/>
  <c r="P15" i="5"/>
  <c r="F23" i="5"/>
  <c r="L25" i="5"/>
  <c r="M29" i="5"/>
  <c r="D17" i="5"/>
  <c r="G31" i="5"/>
  <c r="N39" i="5"/>
  <c r="P28" i="5"/>
  <c r="O25" i="5"/>
  <c r="L12" i="5"/>
  <c r="O6" i="5"/>
  <c r="P14" i="5"/>
  <c r="F22" i="5"/>
  <c r="N28" i="5"/>
  <c r="K33" i="5"/>
  <c r="H22" i="5"/>
  <c r="E22" i="5"/>
  <c r="D22" i="5"/>
  <c r="O14" i="5"/>
  <c r="N14" i="5"/>
  <c r="J28" i="5"/>
  <c r="N33" i="5"/>
  <c r="M33" i="5"/>
  <c r="M28" i="5"/>
  <c r="J33" i="5"/>
  <c r="C20" i="5"/>
  <c r="E20" i="5"/>
  <c r="G20" i="5"/>
  <c r="D32" i="5"/>
  <c r="H32" i="5"/>
  <c r="B6" i="5"/>
  <c r="H8" i="5"/>
  <c r="J15" i="5"/>
  <c r="F28" i="5"/>
  <c r="F20" i="5"/>
  <c r="G16" i="5"/>
  <c r="J41" i="5"/>
  <c r="H17" i="5"/>
  <c r="G32" i="5"/>
  <c r="D16" i="5"/>
  <c r="B16" i="5"/>
  <c r="P5" i="5"/>
  <c r="M21" i="5"/>
  <c r="L5" i="5"/>
  <c r="G8" i="5"/>
  <c r="M15" i="5"/>
  <c r="K14" i="5"/>
  <c r="M14" i="5"/>
  <c r="L14" i="5"/>
  <c r="K17" i="5"/>
  <c r="M17" i="5"/>
  <c r="O17" i="5"/>
  <c r="L17" i="5"/>
  <c r="C22" i="5"/>
  <c r="G22" i="5"/>
  <c r="D20" i="5"/>
  <c r="C28" i="5"/>
  <c r="G28" i="5"/>
  <c r="E28" i="5"/>
  <c r="D28" i="5"/>
  <c r="B28" i="5"/>
  <c r="B20" i="5"/>
  <c r="O41" i="5"/>
  <c r="C32" i="5"/>
  <c r="M41" i="5"/>
  <c r="E8" i="5"/>
  <c r="E32" i="5"/>
  <c r="C23" i="5"/>
  <c r="G23" i="5"/>
  <c r="F32" i="5"/>
  <c r="H20" i="5"/>
  <c r="K5" i="5"/>
  <c r="O5" i="5"/>
  <c r="K12" i="5"/>
  <c r="O12" i="5"/>
  <c r="N7" i="5"/>
  <c r="C6" i="5"/>
  <c r="G6" i="5"/>
  <c r="E6" i="5"/>
  <c r="K4" i="5"/>
  <c r="P4" i="5"/>
  <c r="L4" i="5"/>
  <c r="M4" i="5"/>
  <c r="O4" i="5"/>
  <c r="C7" i="5"/>
  <c r="E7" i="5"/>
  <c r="G7" i="5"/>
  <c r="L7" i="5"/>
  <c r="M7" i="5"/>
  <c r="O7" i="5"/>
  <c r="K7" i="5"/>
  <c r="P7" i="5"/>
  <c r="B7" i="5"/>
  <c r="N4" i="5"/>
  <c r="D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hm</author>
  </authors>
  <commentList>
    <comment ref="A1" authorId="0" shapeId="0" xr:uid="{BBD9C0EA-7B01-4709-AFA6-CE733C34FB91}">
      <text>
        <r>
          <rPr>
            <b/>
            <sz val="8"/>
            <color indexed="81"/>
            <rFont val="Tahoma"/>
            <family val="2"/>
          </rPr>
          <t>Vorschlagswerte für Auswahlliste können in den Zellen B51 bis B53 eingetragen werden</t>
        </r>
      </text>
    </comment>
    <comment ref="I1" authorId="0" shapeId="0" xr:uid="{677FAEC7-BF3A-4617-9FD7-5C55ECB6046F}">
      <text>
        <r>
          <rPr>
            <b/>
            <sz val="8"/>
            <color indexed="81"/>
            <rFont val="Tahoma"/>
            <family val="2"/>
          </rPr>
          <t>Vorschlagswerte für Auswahlliste können in den Zellen G51 bis G80 eingetragen werden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BE8525-DC42-49E4-8A5D-A3B1BB35AE2D}" keepAlive="1" name="Abfrage - Tagesaktivitäten (neu)" description="Verbindung mit der Abfrage 'Tagesaktivitäten (neu)' in der Arbeitsmappe." type="5" refreshedVersion="6" background="1" saveData="1">
    <dbPr connection="Provider=Microsoft.Mashup.OleDb.1;Data Source=$Workbook$;Location=&quot;Tagesaktivitäten (neu)&quot;;Extended Properties=&quot;&quot;" command="SELECT * FROM [Tagesaktivitäten (neu)]"/>
  </connection>
  <connection id="2" xr16:uid="{5FC8F2B1-0C42-4EFF-9613-B83DF47E6373}" keepAlive="1" name="Abfrage - Tagesaktivitäten (neu) (2)" description="Verbindung mit der Abfrage 'Tagesaktivitäten (neu) (2)' in der Arbeitsmappe." type="5" refreshedVersion="6" background="1" saveData="1">
    <dbPr connection="Provider=Microsoft.Mashup.OleDb.1;Data Source=$Workbook$;Location=&quot;Tagesaktivitäten (neu) (2)&quot;;Extended Properties=&quot;&quot;" command="SELECT * FROM [Tagesaktivitäten (neu) (2)]"/>
  </connection>
  <connection id="3" xr16:uid="{B271239C-2987-4971-9A58-6EB81919D8EC}" keepAlive="1" name="Abfrage - Tagesaktivitäten 28a76f56d2ad44e5a5da8bab16a4b619" description="Verbindung mit der Abfrage 'Tagesaktivitäten 28a76f56d2ad44e5a5da8bab16a4b619' in der Arbeitsmappe." type="5" refreshedVersion="6" background="1" saveData="1">
    <dbPr connection="Provider=Microsoft.Mashup.OleDb.1;Data Source=$Workbook$;Location=&quot;Tagesaktivitäten 28a76f56d2ad44e5a5da8bab16a4b619&quot;;Extended Properties=&quot;&quot;" command="SELECT * FROM [Tagesaktivitäten 28a76f56d2ad44e5a5da8bab16a4b619]"/>
  </connection>
  <connection id="4" xr16:uid="{C32B74D1-8033-4ECA-83B3-A89D259080FB}" keepAlive="1" name="Abfrage - Tagesaktivitäten 3043e0e057bd4625839bcd596987a4ca" description="Verbindung mit der Abfrage 'Tagesaktivitäten 3043e0e057bd4625839bcd596987a4ca' in der Arbeitsmappe." type="5" refreshedVersion="6" background="1" saveData="1">
    <dbPr connection="Provider=Microsoft.Mashup.OleDb.1;Data Source=$Workbook$;Location=&quot;Tagesaktivitäten 3043e0e057bd4625839bcd596987a4ca&quot;;Extended Properties=&quot;&quot;" command="SELECT * FROM [Tagesaktivitäten 3043e0e057bd4625839bcd596987a4ca]"/>
  </connection>
  <connection id="5" xr16:uid="{B23B69AE-4429-46C7-9C15-A96596A21C72}" keepAlive="1" name="Abfrage - Tagesaktivitäten 70f9e132b9e9416a8e9c32639baa9bad" description="Verbindung mit der Abfrage 'Tagesaktivitäten 70f9e132b9e9416a8e9c32639baa9bad' in der Arbeitsmappe." type="5" refreshedVersion="6" background="1">
    <dbPr connection="Provider=Microsoft.Mashup.OleDb.1;Data Source=$Workbook$;Location=&quot;Tagesaktivitäten 70f9e132b9e9416a8e9c32639baa9bad&quot;;Extended Properties=&quot;&quot;" command="SELECT * FROM [Tagesaktivitäten 70f9e132b9e9416a8e9c32639baa9bad]"/>
  </connection>
  <connection id="6" xr16:uid="{8EC9751A-F80F-4A68-8929-7CF72DCFD4B9}" keepAlive="1" name="Abfrage - Tagesaktivitäten 70f9e132b9e9416a8e9c32639baa9bad (10)" description="Verbindung mit der Abfrage 'Tagesaktivitäten 70f9e132b9e9416a8e9c32639baa9bad (10)' in der Arbeitsmappe." type="5" refreshedVersion="6" background="1" saveData="1">
    <dbPr connection="Provider=Microsoft.Mashup.OleDb.1;Data Source=$Workbook$;Location=&quot;Tagesaktivitäten 70f9e132b9e9416a8e9c32639baa9bad (10)&quot;;Extended Properties=&quot;&quot;" command="SELECT * FROM [Tagesaktivitäten 70f9e132b9e9416a8e9c32639baa9bad (10)]"/>
  </connection>
  <connection id="7" xr16:uid="{347E034D-ACB5-4460-BB82-AC537C85E32E}" keepAlive="1" name="Abfrage - Tagesaktivitäten 70f9e132b9e9416a8e9c32639baa9bad (11)" description="Verbindung mit der Abfrage 'Tagesaktivitäten 70f9e132b9e9416a8e9c32639baa9bad (11)' in der Arbeitsmappe." type="5" refreshedVersion="6" background="1" saveData="1">
    <dbPr connection="Provider=Microsoft.Mashup.OleDb.1;Data Source=$Workbook$;Location=&quot;Tagesaktivitäten 70f9e132b9e9416a8e9c32639baa9bad (11)&quot;;Extended Properties=&quot;&quot;" command="SELECT * FROM [Tagesaktivitäten 70f9e132b9e9416a8e9c32639baa9bad (11)]"/>
  </connection>
  <connection id="8" xr16:uid="{30F72472-B9D8-4E6A-852B-CFEFD0FCDE15}" keepAlive="1" name="Abfrage - Tagesaktivitäten 70f9e132b9e9416a8e9c32639baa9bad (12)" description="Verbindung mit der Abfrage 'Tagesaktivitäten 70f9e132b9e9416a8e9c32639baa9bad (12)' in der Arbeitsmappe." type="5" refreshedVersion="6" background="1" saveData="1">
    <dbPr connection="Provider=Microsoft.Mashup.OleDb.1;Data Source=$Workbook$;Location=&quot;Tagesaktivitäten 70f9e132b9e9416a8e9c32639baa9bad (12)&quot;;Extended Properties=&quot;&quot;" command="SELECT * FROM [Tagesaktivitäten 70f9e132b9e9416a8e9c32639baa9bad (12)]"/>
  </connection>
  <connection id="9" xr16:uid="{0975C7EF-97E7-47C5-847B-3A7E15822747}" keepAlive="1" name="Abfrage - Tagesaktivitäten 70f9e132b9e9416a8e9c32639baa9bad (13)" description="Verbindung mit der Abfrage 'Tagesaktivitäten 70f9e132b9e9416a8e9c32639baa9bad (13)' in der Arbeitsmappe." type="5" refreshedVersion="6" background="1" saveData="1">
    <dbPr connection="Provider=Microsoft.Mashup.OleDb.1;Data Source=$Workbook$;Location=&quot;Tagesaktivitäten 70f9e132b9e9416a8e9c32639baa9bad (13)&quot;;Extended Properties=&quot;&quot;" command="SELECT * FROM [Tagesaktivitäten 70f9e132b9e9416a8e9c32639baa9bad (13)]"/>
  </connection>
  <connection id="10" xr16:uid="{D1100B15-ACF0-4869-9511-BB4A29443820}" name="Abfrage - Tagesaktivitäten 70f9e132b9e9416a8e9c32639baa9bad (2)" description="Verbindung mit der Abfrage 'Tagesaktivitäten 70f9e132b9e9416a8e9c32639baa9bad (2)' in der Arbeitsmappe." type="100" refreshedVersion="6" minRefreshableVersion="5">
    <extLst>
      <ext xmlns:x15="http://schemas.microsoft.com/office/spreadsheetml/2010/11/main" uri="{DE250136-89BD-433C-8126-D09CA5730AF9}">
        <x15:connection id="64f42a90-f6fe-4f39-ad1e-66b48180633f"/>
      </ext>
    </extLst>
  </connection>
  <connection id="11" xr16:uid="{E28FB8C6-BAEC-4A10-BE86-5F87E1B59C94}" keepAlive="1" name="Abfrage - Tagesaktivitäten 70f9e132b9e9416a8e9c32639baa9bad (3)" description="Verbindung mit der Abfrage 'Tagesaktivitäten 70f9e132b9e9416a8e9c32639baa9bad (3)' in der Arbeitsmappe." type="5" refreshedVersion="6" background="1" saveData="1">
    <dbPr connection="Provider=Microsoft.Mashup.OleDb.1;Data Source=$Workbook$;Location=&quot;Tagesaktivitäten 70f9e132b9e9416a8e9c32639baa9bad (3)&quot;;Extended Properties=&quot;&quot;" command="SELECT * FROM [Tagesaktivitäten 70f9e132b9e9416a8e9c32639baa9bad (3)]"/>
  </connection>
  <connection id="12" xr16:uid="{48B02EA3-B08A-4AAB-BDFC-0563F1096E2F}" keepAlive="1" name="Abfrage - Tagesaktivitäten 70f9e132b9e9416a8e9c32639baa9bad (4)" description="Verbindung mit der Abfrage 'Tagesaktivitäten 70f9e132b9e9416a8e9c32639baa9bad (4)' in der Arbeitsmappe." type="5" refreshedVersion="6" background="1" saveData="1">
    <dbPr connection="Provider=Microsoft.Mashup.OleDb.1;Data Source=$Workbook$;Location=&quot;Tagesaktivitäten 70f9e132b9e9416a8e9c32639baa9bad (4)&quot;;Extended Properties=&quot;&quot;" command="SELECT * FROM [Tagesaktivitäten 70f9e132b9e9416a8e9c32639baa9bad (4)]"/>
  </connection>
  <connection id="13" xr16:uid="{50985BD7-5BAD-4726-AC69-FEE0BCE66135}" keepAlive="1" name="Abfrage - Tagesaktivitäten 70f9e132b9e9416a8e9c32639baa9bad (5)" description="Verbindung mit der Abfrage 'Tagesaktivitäten 70f9e132b9e9416a8e9c32639baa9bad (5)' in der Arbeitsmappe." type="5" refreshedVersion="6" background="1" saveData="1">
    <dbPr connection="Provider=Microsoft.Mashup.OleDb.1;Data Source=$Workbook$;Location=&quot;Tagesaktivitäten 70f9e132b9e9416a8e9c32639baa9bad (5)&quot;;Extended Properties=&quot;&quot;" command="SELECT * FROM [Tagesaktivitäten 70f9e132b9e9416a8e9c32639baa9bad (5)]"/>
  </connection>
  <connection id="14" xr16:uid="{25545CC2-1EB0-43D5-89EA-32CA803B4312}" keepAlive="1" name="Abfrage - Tagesaktivitäten 70f9e132b9e9416a8e9c32639baa9bad (6)" description="Verbindung mit der Abfrage 'Tagesaktivitäten 70f9e132b9e9416a8e9c32639baa9bad (6)' in der Arbeitsmappe." type="5" refreshedVersion="6" background="1" saveData="1">
    <dbPr connection="Provider=Microsoft.Mashup.OleDb.1;Data Source=$Workbook$;Location=&quot;Tagesaktivitäten 70f9e132b9e9416a8e9c32639baa9bad (6)&quot;;Extended Properties=&quot;&quot;" command="SELECT * FROM [Tagesaktivitäten 70f9e132b9e9416a8e9c32639baa9bad (6)]"/>
  </connection>
  <connection id="15" xr16:uid="{0912FEEB-7BB6-4F57-AF03-CCE36C0F54AA}" keepAlive="1" name="Abfrage - Tagesaktivitäten 70f9e132b9e9416a8e9c32639baa9bad (7)" description="Verbindung mit der Abfrage 'Tagesaktivitäten 70f9e132b9e9416a8e9c32639baa9bad (7)' in der Arbeitsmappe." type="5" refreshedVersion="6" background="1">
    <dbPr connection="Provider=Microsoft.Mashup.OleDb.1;Data Source=$Workbook$;Location=&quot;Tagesaktivitäten 70f9e132b9e9416a8e9c32639baa9bad (7)&quot;;Extended Properties=&quot;&quot;" command="SELECT * FROM [Tagesaktivitäten 70f9e132b9e9416a8e9c32639baa9bad (7)]"/>
  </connection>
  <connection id="16" xr16:uid="{8DC6C8A4-1029-4D23-8185-6FFD874FBD5D}" keepAlive="1" name="Abfrage - Tagesaktivitäten 70f9e132b9e9416a8e9c32639baa9bad (8)" description="Verbindung mit der Abfrage 'Tagesaktivitäten 70f9e132b9e9416a8e9c32639baa9bad (8)' in der Arbeitsmappe." type="5" refreshedVersion="6" background="1" saveData="1">
    <dbPr connection="Provider=Microsoft.Mashup.OleDb.1;Data Source=$Workbook$;Location=&quot;Tagesaktivitäten 70f9e132b9e9416a8e9c32639baa9bad (8)&quot;;Extended Properties=&quot;&quot;" command="SELECT * FROM [Tagesaktivitäten 70f9e132b9e9416a8e9c32639baa9bad (8)]"/>
  </connection>
  <connection id="17" xr16:uid="{903F3401-0898-46A0-A901-5534F17BDC4B}" keepAlive="1" name="Abfrage - Tagesaktivitäten 70f9e132b9e9416a8e9c32639baa9bad (9)" description="Verbindung mit der Abfrage 'Tagesaktivitäten 70f9e132b9e9416a8e9c32639baa9bad (9)' in der Arbeitsmappe." type="5" refreshedVersion="6" background="1" saveData="1">
    <dbPr connection="Provider=Microsoft.Mashup.OleDb.1;Data Source=$Workbook$;Location=&quot;Tagesaktivitäten 70f9e132b9e9416a8e9c32639baa9bad (9)&quot;;Extended Properties=&quot;&quot;" command="SELECT * FROM [Tagesaktivitäten 70f9e132b9e9416a8e9c32639baa9bad (9)]"/>
  </connection>
  <connection id="18" xr16:uid="{2959AEB2-F21E-4E3F-9406-C9C858269FDF}" keepAlive="1" name="Abfrage - Tagesaktivitäten fc0941e7181c405d8ce3fb0d8e6e3b45" description="Verbindung mit der Abfrage 'Tagesaktivitäten fc0941e7181c405d8ce3fb0d8e6e3b45' in der Arbeitsmappe." type="5" refreshedVersion="6" background="1" saveData="1">
    <dbPr connection="Provider=Microsoft.Mashup.OleDb.1;Data Source=$Workbook$;Location=&quot;Tagesaktivitäten fc0941e7181c405d8ce3fb0d8e6e3b45&quot;;Extended Properties=&quot;&quot;" command="SELECT * FROM [Tagesaktivitäten fc0941e7181c405d8ce3fb0d8e6e3b45]"/>
  </connection>
  <connection id="19" xr16:uid="{A41B4AD3-382C-4C73-A505-70D1BB34BB4F}" keepAlive="1" name="Abfrage - Tagesaktivitäten fc0941e7181c405d8ce3fb0d8e6e3b45 (2)" description="Verbindung mit der Abfrage 'Tagesaktivitäten fc0941e7181c405d8ce3fb0d8e6e3b45 (2)' in der Arbeitsmappe." type="5" refreshedVersion="6" background="1" saveData="1">
    <dbPr connection="Provider=Microsoft.Mashup.OleDb.1;Data Source=$Workbook$;Location=Tagesaktivitäten fc0941e7181c405d8ce3fb0d8e6e3b45 (2);Extended Properties=&quot;&quot;" command="SELECT * FROM [Tagesaktivitäten fc0941e7181c405d8ce3fb0d8e6e3b45 (2)]"/>
  </connection>
  <connection id="20" xr16:uid="{7CA205A5-D5AD-4998-906D-B82CBC8A85E3}" name="Tagesaktivitäten 0011489d0190446aa60a78f9b69609b31" type="6" refreshedVersion="6" background="1" saveData="1">
    <textPr prompt="0" codePage="65001" sourceFile="D:\Downloads\Tagesaktivitäten 0011489d0190446aa60a78f9b69609b3.csv" thousands="." tab="0" comma="1">
      <textFields>
        <textField/>
      </textFields>
    </textPr>
  </connection>
  <connection id="21" xr16:uid="{93516FB1-31D5-4EA3-912A-656D75E40BC2}"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<sst xmlns="http://schemas.openxmlformats.org/spreadsheetml/2006/main" count="47" uniqueCount="37">
  <si>
    <t>Aufgabe (R)</t>
  </si>
  <si>
    <t>Beginn</t>
  </si>
  <si>
    <t>Ende</t>
  </si>
  <si>
    <t>Abrechnung</t>
  </si>
  <si>
    <t>MRAHT</t>
  </si>
  <si>
    <t>Beschreibung</t>
  </si>
  <si>
    <t>Fix</t>
  </si>
  <si>
    <t>Rückfahrt</t>
  </si>
  <si>
    <t>Hinfahrt</t>
  </si>
  <si>
    <t>Zeit [h]</t>
  </si>
  <si>
    <t>Projekt_Aktivität</t>
  </si>
  <si>
    <t>Provision</t>
  </si>
  <si>
    <t>Bürotag</t>
  </si>
  <si>
    <t>Arb.-Zeit [h]</t>
  </si>
  <si>
    <t>Pausen</t>
  </si>
  <si>
    <t>Datum</t>
  </si>
  <si>
    <t>Mitarbeiter</t>
  </si>
  <si>
    <t>Von</t>
  </si>
  <si>
    <t>Bis</t>
  </si>
  <si>
    <t>Projekt</t>
  </si>
  <si>
    <t>Teilprojekt</t>
  </si>
  <si>
    <t>Arbeitspaket</t>
  </si>
  <si>
    <t>Tätigkeit</t>
  </si>
  <si>
    <t>Einsatzort</t>
  </si>
  <si>
    <t>Bemerkung</t>
  </si>
  <si>
    <t>P1</t>
  </si>
  <si>
    <t>P2</t>
  </si>
  <si>
    <t>Differenz</t>
  </si>
  <si>
    <t>CAS-Projektaktivität (R)</t>
  </si>
  <si>
    <t>IOT-Projektaktivität (R)</t>
  </si>
  <si>
    <t>Anz. Zeichen</t>
  </si>
  <si>
    <t>Tagesabrechnung importieren</t>
  </si>
  <si>
    <t>0,25</t>
  </si>
  <si>
    <t>Aufwand</t>
  </si>
  <si>
    <t>2020/0155#DEVELOPMENT</t>
  </si>
  <si>
    <t>Wareneingang: Replikation nach ECC auslösen</t>
  </si>
  <si>
    <t>692-IOT1504-Produktentwicklung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</si>
</sst>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
    <numFmt numFmtId="165" formatCode="d"/>
    <numFmt numFmtId="166" formatCode="mmmm"/>
    <numFmt numFmtId="167" formatCode=";;;"/>
  </numFmts>
  <fonts count="18" x14ac:knownFonts="1">
    <font>
      <sz val="11"/>
      <color theme="1"/>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11"/>
      <color rgb="FF3F3F76"/>
      <name val="Calibri"/>
      <family val="2"/>
      <scheme val="minor"/>
    </font>
    <font>
      <b/>
      <sz val="11"/>
      <color rgb="FF3F3F3F"/>
      <name val="Calibri"/>
      <family val="2"/>
      <scheme val="minor"/>
    </font>
    <font>
      <sz val="10"/>
      <name val="Arial"/>
      <family val="2"/>
    </font>
    <font>
      <b/>
      <sz val="10"/>
      <name val="Arial"/>
      <family val="2"/>
    </font>
    <font>
      <b/>
      <sz val="8"/>
      <color indexed="81"/>
      <name val="Tahoma"/>
      <family val="2"/>
    </font>
    <font>
      <sz val="10"/>
      <color theme="1"/>
      <name val="Arial"/>
      <family val="2"/>
    </font>
    <font>
      <b/>
      <sz val="11"/>
      <color theme="3"/>
      <name val="Calibri"/>
      <family val="2"/>
      <scheme val="minor"/>
    </font>
    <font>
      <sz val="11"/>
      <color theme="0"/>
      <name val="Calibri"/>
      <family val="2"/>
      <scheme val="minor"/>
    </font>
    <font>
      <sz val="11"/>
      <color theme="3"/>
      <name val="Calibri"/>
      <family val="2"/>
      <scheme val="minor"/>
    </font>
    <font>
      <sz val="12"/>
      <color theme="1" tint="0.34998626667073579"/>
      <name val="Calibri Light"/>
      <family val="2"/>
      <scheme val="major"/>
    </font>
    <font>
      <sz val="48"/>
      <color theme="1" tint="0.34998626667073579"/>
      <name val="Calibri Light"/>
      <family val="2"/>
      <scheme val="major"/>
    </font>
    <font>
      <b/>
      <sz val="12"/>
      <color theme="3"/>
      <name val="Calibri"/>
      <family val="2"/>
      <scheme val="minor"/>
    </font>
    <font>
      <b/>
      <sz val="10"/>
      <color theme="1"/>
      <name val="Arial"/>
      <family val="2"/>
    </font>
    <font>
      <b/>
      <sz val="12"/>
      <color rgb="FF000000"/>
      <name val="Calibri"/>
      <family val="2"/>
    </font>
  </fonts>
  <fills count="9">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2F2F2"/>
      </patternFill>
    </fill>
    <fill>
      <patternFill patternType="solid">
        <fgColor indexed="47"/>
        <bgColor indexed="64"/>
      </patternFill>
    </fill>
    <fill>
      <patternFill patternType="solid">
        <fgColor rgb="FFFFCC99"/>
        <bgColor indexed="64"/>
      </patternFill>
    </fill>
    <fill>
      <patternFill patternType="solid">
        <fgColor theme="0"/>
        <bgColor indexed="64"/>
      </patternFill>
    </fill>
    <fill>
      <patternFill patternType="solid">
        <fgColor theme="7" tint="0.79998168889431442"/>
        <bgColor indexed="64"/>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thin">
        <color theme="4"/>
      </top>
      <bottom style="thin">
        <color theme="4" tint="0.59996337778862885"/>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style="medium">
        <color indexed="64"/>
      </left>
      <right/>
      <top style="medium">
        <color indexed="64"/>
      </top>
      <bottom style="medium">
        <color indexed="64"/>
      </bottom>
      <diagonal/>
    </border>
    <border>
      <left style="thin">
        <color auto="1"/>
      </left>
      <right/>
      <top style="thin">
        <color auto="1"/>
      </top>
      <bottom style="thin">
        <color auto="1"/>
      </bottom>
      <diagonal/>
    </border>
    <border>
      <left style="medium">
        <color auto="1"/>
      </left>
      <right style="thin">
        <color auto="1"/>
      </right>
      <top style="thin">
        <color auto="1"/>
      </top>
      <bottom style="thin">
        <color auto="1"/>
      </bottom>
      <diagonal/>
    </border>
  </borders>
  <cellStyleXfs count="10">
    <xf numFmtId="0" fontId="0" fillId="0" borderId="0"/>
    <xf numFmtId="0" fontId="4" fillId="3" borderId="1" applyNumberFormat="0" applyAlignment="0" applyProtection="0"/>
    <xf numFmtId="0" fontId="5" fillId="4" borderId="2" applyNumberFormat="0" applyAlignment="0" applyProtection="0"/>
    <xf numFmtId="20" fontId="3" fillId="0" borderId="0"/>
    <xf numFmtId="0" fontId="12" fillId="0" borderId="0">
      <alignment horizontal="center" vertical="center"/>
    </xf>
    <xf numFmtId="165" fontId="12" fillId="0" borderId="0" applyFont="0" applyFill="0" applyBorder="0" applyAlignment="0">
      <alignment horizontal="center" vertical="center"/>
    </xf>
    <xf numFmtId="0" fontId="11" fillId="0" borderId="0" applyFill="0" applyBorder="0" applyAlignment="0">
      <alignment horizontal="center" vertical="center"/>
    </xf>
    <xf numFmtId="0" fontId="10" fillId="0" borderId="0">
      <alignment horizontal="center" vertical="center"/>
    </xf>
    <xf numFmtId="166" fontId="13" fillId="0" borderId="9">
      <alignment horizontal="center"/>
    </xf>
    <xf numFmtId="0" fontId="14" fillId="0" borderId="0">
      <alignment horizontal="center" vertical="center"/>
    </xf>
  </cellStyleXfs>
  <cellXfs count="76">
    <xf numFmtId="0" fontId="0" fillId="0" borderId="0" xfId="0"/>
    <xf numFmtId="0" fontId="1" fillId="2" borderId="0" xfId="0" applyFont="1" applyFill="1"/>
    <xf numFmtId="0" fontId="0" fillId="0" borderId="0" xfId="0" applyProtection="1">
      <protection locked="0"/>
    </xf>
    <xf numFmtId="0" fontId="6" fillId="0" borderId="4" xfId="0" applyFont="1" applyBorder="1" applyProtection="1">
      <protection locked="0"/>
    </xf>
    <xf numFmtId="0" fontId="6" fillId="0" borderId="3" xfId="0" applyFont="1" applyBorder="1" applyProtection="1">
      <protection locked="0"/>
    </xf>
    <xf numFmtId="2" fontId="6" fillId="0" borderId="0" xfId="0" applyNumberFormat="1" applyFont="1" applyProtection="1">
      <protection locked="0"/>
    </xf>
    <xf numFmtId="0" fontId="6" fillId="0" borderId="0" xfId="0" applyFont="1" applyAlignment="1" applyProtection="1">
      <alignment vertical="top"/>
      <protection locked="0"/>
    </xf>
    <xf numFmtId="14" fontId="6" fillId="0" borderId="0" xfId="0" applyNumberFormat="1" applyFont="1" applyProtection="1">
      <protection locked="0"/>
    </xf>
    <xf numFmtId="0" fontId="6" fillId="0" borderId="3" xfId="0" applyFont="1" applyBorder="1" applyAlignment="1" applyProtection="1">
      <alignment vertical="top"/>
      <protection locked="0"/>
    </xf>
    <xf numFmtId="0" fontId="6" fillId="0" borderId="6" xfId="0" applyFont="1" applyBorder="1" applyProtection="1">
      <protection locked="0"/>
    </xf>
    <xf numFmtId="2" fontId="6" fillId="0" borderId="5" xfId="0" applyNumberFormat="1" applyFont="1" applyBorder="1" applyProtection="1">
      <protection locked="0"/>
    </xf>
    <xf numFmtId="14" fontId="6" fillId="0" borderId="5" xfId="0" applyNumberFormat="1" applyFont="1" applyBorder="1" applyProtection="1">
      <protection locked="0"/>
    </xf>
    <xf numFmtId="0" fontId="6" fillId="0" borderId="7" xfId="0" applyFont="1" applyBorder="1" applyProtection="1">
      <protection locked="0"/>
    </xf>
    <xf numFmtId="0" fontId="7" fillId="0" borderId="0" xfId="0" applyFont="1" applyAlignment="1" applyProtection="1">
      <alignment horizontal="center" vertical="center"/>
      <protection locked="0"/>
    </xf>
    <xf numFmtId="0" fontId="7" fillId="5" borderId="8" xfId="0" applyFont="1" applyFill="1" applyBorder="1" applyAlignment="1">
      <alignment horizontal="center" vertical="center"/>
    </xf>
    <xf numFmtId="0" fontId="7" fillId="5" borderId="8" xfId="0" applyFont="1" applyFill="1" applyBorder="1" applyAlignment="1">
      <alignment horizontal="center" vertical="center" wrapText="1"/>
    </xf>
    <xf numFmtId="0" fontId="9" fillId="0" borderId="0" xfId="0" applyFont="1" applyAlignment="1">
      <alignment horizontal="center" vertical="center"/>
    </xf>
    <xf numFmtId="20" fontId="0" fillId="0" borderId="0" xfId="0" applyNumberFormat="1"/>
    <xf numFmtId="2" fontId="6" fillId="0" borderId="0" xfId="0" applyNumberFormat="1" applyFont="1" applyAlignment="1" applyProtection="1">
      <alignment horizontal="right"/>
      <protection locked="0"/>
    </xf>
    <xf numFmtId="2" fontId="9" fillId="0" borderId="5" xfId="0" applyNumberFormat="1" applyFont="1" applyBorder="1" applyAlignment="1">
      <alignment vertical="top"/>
    </xf>
    <xf numFmtId="2" fontId="9" fillId="0" borderId="5" xfId="0" applyNumberFormat="1" applyFont="1" applyBorder="1" applyAlignment="1" applyProtection="1">
      <alignment vertical="top"/>
      <protection locked="0"/>
    </xf>
    <xf numFmtId="2" fontId="9" fillId="0" borderId="0" xfId="0" applyNumberFormat="1" applyFont="1" applyAlignment="1">
      <alignment vertical="top"/>
    </xf>
    <xf numFmtId="2" fontId="9" fillId="0" borderId="0" xfId="0" applyNumberFormat="1" applyFont="1" applyAlignment="1" applyProtection="1">
      <alignment vertical="top"/>
      <protection locked="0"/>
    </xf>
    <xf numFmtId="2" fontId="9" fillId="0" borderId="0" xfId="0" applyNumberFormat="1" applyFont="1" applyAlignment="1" applyProtection="1">
      <alignment horizontal="left" vertical="top"/>
      <protection locked="0"/>
    </xf>
    <xf numFmtId="2" fontId="9" fillId="0" borderId="0" xfId="0" applyNumberFormat="1" applyFont="1" applyProtection="1">
      <protection locked="0"/>
    </xf>
    <xf numFmtId="2" fontId="9" fillId="0" borderId="0" xfId="0" applyNumberFormat="1" applyFont="1" applyAlignment="1" applyProtection="1">
      <alignment horizontal="right"/>
      <protection locked="0"/>
    </xf>
    <xf numFmtId="0" fontId="9" fillId="0" borderId="0" xfId="0" applyFont="1" applyAlignment="1" applyProtection="1">
      <alignment vertical="top"/>
      <protection locked="0"/>
    </xf>
    <xf numFmtId="49" fontId="9" fillId="0" borderId="3" xfId="0" applyNumberFormat="1" applyFont="1" applyBorder="1" applyProtection="1">
      <protection locked="0"/>
    </xf>
    <xf numFmtId="14" fontId="9" fillId="0" borderId="0" xfId="0" applyNumberFormat="1" applyFont="1" applyProtection="1">
      <protection locked="0"/>
    </xf>
    <xf numFmtId="14" fontId="9" fillId="0" borderId="0" xfId="0" applyNumberFormat="1" applyFont="1" applyAlignment="1" applyProtection="1">
      <alignment horizontal="right"/>
      <protection locked="0"/>
    </xf>
    <xf numFmtId="0" fontId="12" fillId="0" borderId="0" xfId="4">
      <alignment horizontal="center" vertical="center"/>
    </xf>
    <xf numFmtId="165" fontId="0" fillId="0" borderId="0" xfId="5" applyFont="1">
      <alignment horizontal="center" vertical="center"/>
    </xf>
    <xf numFmtId="0" fontId="11" fillId="0" borderId="0" xfId="6">
      <alignment horizontal="center" vertical="center"/>
    </xf>
    <xf numFmtId="0" fontId="10" fillId="0" borderId="0" xfId="7">
      <alignment horizontal="center" vertical="center"/>
    </xf>
    <xf numFmtId="167" fontId="3" fillId="0" borderId="0" xfId="6" applyNumberFormat="1" applyFont="1">
      <alignment horizontal="center" vertical="center"/>
    </xf>
    <xf numFmtId="165" fontId="12" fillId="0" borderId="0" xfId="5">
      <alignment horizontal="center" vertical="center"/>
    </xf>
    <xf numFmtId="167" fontId="3" fillId="7" borderId="0" xfId="6" applyNumberFormat="1" applyFont="1" applyFill="1">
      <alignment horizontal="center" vertical="center"/>
    </xf>
    <xf numFmtId="0" fontId="10" fillId="0" borderId="0" xfId="4" applyFont="1" applyAlignment="1">
      <alignment horizontal="left" vertical="center"/>
    </xf>
    <xf numFmtId="14" fontId="12" fillId="0" borderId="0" xfId="4" applyNumberFormat="1">
      <alignment horizontal="center" vertical="center"/>
    </xf>
    <xf numFmtId="14" fontId="6" fillId="0" borderId="0" xfId="1" applyNumberFormat="1" applyFont="1" applyFill="1" applyBorder="1"/>
    <xf numFmtId="164" fontId="6" fillId="0" borderId="0" xfId="1" applyNumberFormat="1" applyFont="1" applyFill="1" applyBorder="1"/>
    <xf numFmtId="0" fontId="6" fillId="0" borderId="0" xfId="1" applyFont="1" applyFill="1" applyBorder="1"/>
    <xf numFmtId="0" fontId="6" fillId="0" borderId="0" xfId="0" applyFont="1"/>
    <xf numFmtId="0" fontId="6" fillId="0" borderId="3" xfId="0" quotePrefix="1" applyFont="1" applyBorder="1" applyProtection="1">
      <protection locked="0"/>
    </xf>
    <xf numFmtId="14" fontId="0" fillId="0" borderId="0" xfId="0" applyNumberFormat="1" applyProtection="1">
      <protection locked="0"/>
    </xf>
    <xf numFmtId="164" fontId="0" fillId="0" borderId="0" xfId="0" applyNumberFormat="1" applyProtection="1">
      <protection locked="0"/>
    </xf>
    <xf numFmtId="164" fontId="7" fillId="5" borderId="8" xfId="0" applyNumberFormat="1" applyFont="1" applyFill="1" applyBorder="1" applyAlignment="1">
      <alignment horizontal="center" vertical="center"/>
    </xf>
    <xf numFmtId="164" fontId="6" fillId="0" borderId="5" xfId="0" applyNumberFormat="1" applyFont="1" applyBorder="1" applyProtection="1">
      <protection locked="0"/>
    </xf>
    <xf numFmtId="164" fontId="6" fillId="0" borderId="0" xfId="0" applyNumberFormat="1" applyFont="1" applyProtection="1">
      <protection locked="0"/>
    </xf>
    <xf numFmtId="164" fontId="6" fillId="0" borderId="0" xfId="0" applyNumberFormat="1" applyFont="1" applyAlignment="1" applyProtection="1">
      <alignment horizontal="right"/>
      <protection locked="0"/>
    </xf>
    <xf numFmtId="164" fontId="9" fillId="0" borderId="0" xfId="0" applyNumberFormat="1" applyFont="1" applyAlignment="1" applyProtection="1">
      <alignment horizontal="right" vertical="top"/>
      <protection locked="0"/>
    </xf>
    <xf numFmtId="164" fontId="9" fillId="0" borderId="0" xfId="0" applyNumberFormat="1" applyFont="1" applyAlignment="1" applyProtection="1">
      <alignment horizontal="right"/>
      <protection locked="0"/>
    </xf>
    <xf numFmtId="164" fontId="6" fillId="0" borderId="0" xfId="0" applyNumberFormat="1" applyFont="1"/>
    <xf numFmtId="0" fontId="16" fillId="6" borderId="10" xfId="0" applyFont="1" applyFill="1" applyBorder="1" applyAlignment="1">
      <alignment horizontal="center" vertical="center"/>
    </xf>
    <xf numFmtId="2" fontId="0" fillId="0" borderId="0" xfId="0" applyNumberFormat="1" applyProtection="1">
      <protection locked="0"/>
    </xf>
    <xf numFmtId="2" fontId="0" fillId="0" borderId="0" xfId="0" applyNumberFormat="1"/>
    <xf numFmtId="14" fontId="7" fillId="6" borderId="2" xfId="2" applyNumberFormat="1" applyFont="1" applyFill="1" applyBorder="1" applyAlignment="1">
      <alignment horizontal="center" vertical="center"/>
    </xf>
    <xf numFmtId="164" fontId="7" fillId="6" borderId="2" xfId="2" applyNumberFormat="1" applyFont="1" applyFill="1" applyBorder="1" applyAlignment="1">
      <alignment horizontal="center" vertical="center"/>
    </xf>
    <xf numFmtId="0" fontId="7" fillId="6" borderId="2" xfId="2" applyFont="1" applyFill="1" applyBorder="1" applyAlignment="1">
      <alignment horizontal="center" vertical="center"/>
    </xf>
    <xf numFmtId="0" fontId="7" fillId="8" borderId="2" xfId="0" applyFont="1" applyFill="1" applyBorder="1" applyAlignment="1" applyProtection="1">
      <alignment horizontal="center" vertical="center"/>
      <protection locked="0"/>
    </xf>
    <xf numFmtId="0" fontId="16" fillId="6" borderId="11" xfId="0" applyFont="1" applyFill="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7" fillId="5" borderId="14" xfId="0" applyFont="1" applyFill="1" applyBorder="1" applyAlignment="1">
      <alignment horizontal="center" vertical="center"/>
    </xf>
    <xf numFmtId="0" fontId="7" fillId="0" borderId="15" xfId="0"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16" xfId="0" applyFont="1" applyBorder="1" applyAlignment="1" applyProtection="1">
      <alignment horizontal="center" vertical="center"/>
      <protection locked="0"/>
    </xf>
    <xf numFmtId="14" fontId="0" fillId="0" borderId="0" xfId="0" applyNumberFormat="1"/>
    <xf numFmtId="2" fontId="1" fillId="2" borderId="0" xfId="0" applyNumberFormat="1" applyFont="1" applyFill="1" applyAlignment="1">
      <alignment horizontal="left"/>
    </xf>
    <xf numFmtId="2" fontId="0" fillId="0" borderId="0" xfId="0" applyNumberFormat="1" applyAlignment="1">
      <alignment horizontal="left"/>
    </xf>
    <xf numFmtId="20" fontId="1" fillId="2" borderId="0" xfId="0" applyNumberFormat="1" applyFont="1" applyFill="1" applyAlignment="1">
      <alignment horizontal="left"/>
    </xf>
    <xf numFmtId="20" fontId="0" fillId="0" borderId="0" xfId="0" applyNumberFormat="1" applyAlignment="1">
      <alignment horizontal="left"/>
    </xf>
    <xf numFmtId="20" fontId="1" fillId="2" borderId="0" xfId="0" applyNumberFormat="1" applyFont="1" applyFill="1"/>
    <xf numFmtId="166" fontId="13" fillId="0" borderId="9" xfId="8">
      <alignment horizontal="center"/>
    </xf>
    <xf numFmtId="0" fontId="15" fillId="0" borderId="0" xfId="4" applyFont="1" applyAlignment="1">
      <alignment horizontal="center"/>
    </xf>
    <xf numFmtId="0" fontId="14" fillId="0" borderId="0" xfId="9">
      <alignment horizontal="center" vertical="center"/>
    </xf>
  </cellXfs>
  <cellStyles count="10">
    <cellStyle name="Ausgabe" xfId="2" builtinId="21"/>
    <cellStyle name="Day" xfId="5" xr:uid="{191C09BE-E95C-4557-8842-9642373290FD}"/>
    <cellStyle name="Day Cal" xfId="6" xr:uid="{BDE69630-BB26-45FD-AE5D-33B0BA4CF159}"/>
    <cellStyle name="Eingabe" xfId="1" builtinId="20"/>
    <cellStyle name="Standard" xfId="0" builtinId="0"/>
    <cellStyle name="Standard 2" xfId="4" xr:uid="{7EE7C8F3-A4AD-4434-B813-B0D327A98BA0}"/>
    <cellStyle name="Stil 1" xfId="3" xr:uid="{0299C3EE-5F95-4248-9BA4-C8AD75310AC4}"/>
    <cellStyle name="Überschrift 1 2" xfId="8" xr:uid="{8433671C-84D6-4AA9-ADC9-B43749A33AFC}"/>
    <cellStyle name="Überschrift 2 2" xfId="7" xr:uid="{DE4DCEFD-0180-4F8B-89EB-C1013C4D676A}"/>
    <cellStyle name="Überschrift 5" xfId="9" xr:uid="{ACDF5DEE-C286-4E17-B0C2-208785FAB5C9}"/>
  </cellStyles>
  <dxfs count="28">
    <dxf>
      <font>
        <color rgb="FFFF0000"/>
      </font>
    </dxf>
    <dxf>
      <font>
        <color rgb="FFFF0000"/>
      </font>
    </dxf>
    <dxf>
      <font>
        <color rgb="FFFF0000"/>
      </font>
    </dxf>
    <dxf>
      <font>
        <color rgb="FFFF0000"/>
      </font>
      <fill>
        <patternFill patternType="none">
          <bgColor auto="1"/>
        </patternFill>
      </fill>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
      <font>
        <color theme="3" tint="0.59996337778862885"/>
      </font>
    </dxf>
  </dxfs>
  <tableStyles count="0" defaultTableStyle="TableStyleMedium2" defaultPivotStyle="PivotStyleLight16"/>
  <colors>
    <mruColors>
      <color rgb="FFFFCC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213360</xdr:colOff>
          <xdr:row>1</xdr:row>
          <xdr:rowOff>106680</xdr:rowOff>
        </xdr:from>
        <xdr:to>
          <xdr:col>21</xdr:col>
          <xdr:colOff>99060</xdr:colOff>
          <xdr:row>2</xdr:row>
          <xdr:rowOff>144780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289560</xdr:colOff>
          <xdr:row>0</xdr:row>
          <xdr:rowOff>76200</xdr:rowOff>
        </xdr:from>
        <xdr:to>
          <xdr:col>16</xdr:col>
          <xdr:colOff>457200</xdr:colOff>
          <xdr:row>0</xdr:row>
          <xdr:rowOff>457200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1" i="0" u="none" strike="noStrike" baseline="0">
                  <a:solidFill>
                    <a:srgbClr val="000000"/>
                  </a:solidFill>
                  <a:latin typeface="Calibri"/>
                  <a:cs typeface="Calibri"/>
                </a:rPr>
                <a:t>Speichern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304800</xdr:colOff>
          <xdr:row>0</xdr:row>
          <xdr:rowOff>76200</xdr:rowOff>
        </xdr:from>
        <xdr:to>
          <xdr:col>13</xdr:col>
          <xdr:colOff>480060</xdr:colOff>
          <xdr:row>0</xdr:row>
          <xdr:rowOff>457200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1" i="0" u="none" strike="noStrike" baseline="0">
                  <a:solidFill>
                    <a:srgbClr val="000000"/>
                  </a:solidFill>
                  <a:latin typeface="Calibri"/>
                  <a:cs typeface="Calibri"/>
                </a:rPr>
                <a:t>Speichern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logexportdata" growShrinkType="overwriteClear" adjustColumnWidth="0" connectionId="20" xr16:uid="{63E3F1CE-7869-4949-820E-A6EEE2EEF332}" autoFormatId="16" applyNumberFormats="0" applyBorderFormats="0" applyFontFormats="1" applyPatternFormats="1" applyAlignmentFormats="0" applyWidthHeightFormats="0"/>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76230-526D-45B1-80D7-802FA47865F2}">
  <sheetPr codeName="Tabelle5">
    <pageSetUpPr autoPageBreaks="0" fitToPage="1"/>
  </sheetPr>
  <dimension ref="A1:V49"/>
  <sheetViews>
    <sheetView showGridLines="0" workbookViewId="0">
      <selection activeCell="T12" sqref="T12"/>
    </sheetView>
  </sheetViews>
  <sheetFormatPr baseColWidth="10" defaultColWidth="9.109375" defaultRowHeight="14.4" x14ac:dyDescent="0.3"/>
  <cols>
    <col min="1" max="1" width="2.6640625" style="30" customWidth="1"/>
    <col min="2" max="8" width="7.6640625" style="30" customWidth="1"/>
    <col min="9" max="9" width="5.6640625" style="30" customWidth="1"/>
    <col min="10" max="16" width="7.6640625" style="30" customWidth="1"/>
    <col min="17" max="17" width="2.6640625" style="30" customWidth="1"/>
    <col min="18" max="18" width="9.109375" style="30"/>
    <col min="19" max="19" width="5.109375" style="30" bestFit="1" customWidth="1"/>
    <col min="20" max="20" width="10.109375" style="30" bestFit="1" customWidth="1"/>
    <col min="21" max="16384" width="9.109375" style="30"/>
  </cols>
  <sheetData>
    <row r="1" spans="1:22" ht="69.75" customHeight="1" x14ac:dyDescent="0.3">
      <c r="B1" s="75">
        <f ca="1">YEAR(TODAY())</f>
        <v>2021</v>
      </c>
      <c r="C1" s="75"/>
      <c r="D1" s="75"/>
      <c r="E1" s="75"/>
      <c r="F1" s="75"/>
      <c r="G1" s="75"/>
      <c r="H1" s="75"/>
      <c r="I1" s="75"/>
      <c r="J1" s="75"/>
      <c r="K1" s="75"/>
      <c r="L1" s="75"/>
      <c r="M1" s="75"/>
      <c r="N1" s="75"/>
      <c r="O1" s="75"/>
      <c r="P1" s="75"/>
      <c r="S1" s="74" t="s">
        <v>31</v>
      </c>
      <c r="T1" s="74"/>
      <c r="U1" s="74"/>
      <c r="V1" s="74"/>
    </row>
    <row r="2" spans="1:22" ht="21.75" customHeight="1" x14ac:dyDescent="0.3">
      <c r="A2" s="32"/>
      <c r="B2" s="73" t="str">
        <f ca="1">UPPER(TEXT(Jan_Val,"MMMM"))</f>
        <v>JANUAR</v>
      </c>
      <c r="C2" s="73"/>
      <c r="D2" s="73"/>
      <c r="E2" s="73"/>
      <c r="F2" s="73"/>
      <c r="G2" s="73"/>
      <c r="H2" s="73"/>
      <c r="J2" s="73" t="str">
        <f ca="1">UPPER(TEXT(Feb_Val,"MMMM"))</f>
        <v>FEBRUAR</v>
      </c>
      <c r="K2" s="73"/>
      <c r="L2" s="73"/>
      <c r="M2" s="73"/>
      <c r="N2" s="73"/>
      <c r="O2" s="73"/>
      <c r="P2" s="73"/>
    </row>
    <row r="3" spans="1:22" ht="21.75" customHeight="1" x14ac:dyDescent="0.3">
      <c r="A3" s="32"/>
      <c r="B3" s="33" t="str">
        <f>CHOOSE(1+(WeekStart="Monday"),"Su","Mo","Tu","We","Th","Fr","Sa","Su")</f>
        <v>Mo</v>
      </c>
      <c r="C3" s="33" t="str">
        <f>CHOOSE(2+(WeekStart="Monday"),"Su","Mo","Tu","We","Th","Fr","Sa","Su")</f>
        <v>Tu</v>
      </c>
      <c r="D3" s="33" t="str">
        <f>CHOOSE(3+(WeekStart="Monday"),"Su","Mo","Tu","We","Th","Fr","Sa","Su")</f>
        <v>We</v>
      </c>
      <c r="E3" s="33" t="str">
        <f>CHOOSE(4+(WeekStart="Monday"),"Su","Mo","Tu","We","Th","Fr","Sa","Su")</f>
        <v>Th</v>
      </c>
      <c r="F3" s="33" t="str">
        <f>CHOOSE(5+(WeekStart="Monday"),"Su","Mo","Tu","We","Th","Fr","Sa","Su")</f>
        <v>Fr</v>
      </c>
      <c r="G3" s="33" t="str">
        <f>CHOOSE(6+(WeekStart="Monday"),"Su","Mo","Tu","We","Th","Fr","Sa","Su")</f>
        <v>Sa</v>
      </c>
      <c r="H3" s="33" t="str">
        <f>CHOOSE(7+(WeekStart="Monday"),"Su","Mo","Tu","We","Th","Fr","Sa","Su")</f>
        <v>Su</v>
      </c>
      <c r="J3" s="33" t="str">
        <f>CHOOSE(1+(WeekStart="Monday"),"Su","Mo","Tu","We","Th","Fr","Sa","Su")</f>
        <v>Mo</v>
      </c>
      <c r="K3" s="33" t="str">
        <f>CHOOSE(2+(WeekStart="Monday"),"Su","Mo","Tu","We","Th","Fr","Sa","Su")</f>
        <v>Tu</v>
      </c>
      <c r="L3" s="33" t="str">
        <f>CHOOSE(3+(WeekStart="Monday"),"Su","Mo","Tu","We","Th","Fr","Sa","Su")</f>
        <v>We</v>
      </c>
      <c r="M3" s="33" t="str">
        <f>CHOOSE(4+(WeekStart="Monday"),"Su","Mo","Tu","We","Th","Fr","Sa","Su")</f>
        <v>Th</v>
      </c>
      <c r="N3" s="33" t="str">
        <f>CHOOSE(5+(WeekStart="Monday"),"Su","Mo","Tu","We","Th","Fr","Sa","Su")</f>
        <v>Fr</v>
      </c>
      <c r="O3" s="33" t="str">
        <f>CHOOSE(6+(WeekStart="Monday"),"Su","Mo","Tu","We","Th","Fr","Sa","Su")</f>
        <v>Sa</v>
      </c>
      <c r="P3" s="33" t="str">
        <f>CHOOSE(7+(WeekStart="Monday"),"Su","Mo","Tu","We","Th","Fr","Sa","Su")</f>
        <v>Su</v>
      </c>
      <c r="S3" s="37"/>
      <c r="T3" s="38"/>
    </row>
    <row r="4" spans="1:22" ht="15.9" customHeight="1" x14ac:dyDescent="0.3">
      <c r="A4" s="36">
        <v>1</v>
      </c>
      <c r="B4" s="35">
        <f t="array" aca="1" ref="B4:H4" ca="1">Days+DATE(CalYear,MONTH(Jan_Val),1)-WEEKDAY(DATE(CalYear,MONTH(Jan_Val),1),(WeekStart="Monday")+1)+$A4*7-6</f>
        <v>44193</v>
      </c>
      <c r="C4" s="35">
        <f ca="1"/>
        <v>44194</v>
      </c>
      <c r="D4" s="35">
        <f ca="1"/>
        <v>44195</v>
      </c>
      <c r="E4" s="35">
        <f ca="1"/>
        <v>44196</v>
      </c>
      <c r="F4" s="35">
        <f ca="1"/>
        <v>44197</v>
      </c>
      <c r="G4" s="35">
        <f ca="1"/>
        <v>44198</v>
      </c>
      <c r="H4" s="35">
        <f ca="1"/>
        <v>44199</v>
      </c>
      <c r="J4" s="31">
        <f t="array" aca="1" ref="J4:P4" ca="1">Days+DATE(CalYear,MONTH(Feb_Val),1)-WEEKDAY(DATE(CalYear,MONTH(Feb_Val),1),(WeekStart="Monday")+1)+$A4*7-6</f>
        <v>44228</v>
      </c>
      <c r="K4" s="31">
        <f ca="1"/>
        <v>44229</v>
      </c>
      <c r="L4" s="31">
        <f ca="1"/>
        <v>44230</v>
      </c>
      <c r="M4" s="31">
        <f ca="1"/>
        <v>44231</v>
      </c>
      <c r="N4" s="31">
        <f ca="1"/>
        <v>44232</v>
      </c>
      <c r="O4" s="31">
        <f ca="1"/>
        <v>44233</v>
      </c>
      <c r="P4" s="31">
        <f ca="1"/>
        <v>44234</v>
      </c>
      <c r="S4" s="37"/>
      <c r="T4" s="38"/>
    </row>
    <row r="5" spans="1:22" ht="15.9" customHeight="1" x14ac:dyDescent="0.3">
      <c r="A5" s="36">
        <v>2</v>
      </c>
      <c r="B5" s="35">
        <f t="array" aca="1" ref="B5:H5" ca="1">Days+DATE(CalYear,MONTH(Jan_Val),1)-WEEKDAY(DATE(CalYear,MONTH(Jan_Val),1),(WeekStart="Monday")+1)+$A5*7-6</f>
        <v>44200</v>
      </c>
      <c r="C5" s="35">
        <f ca="1"/>
        <v>44201</v>
      </c>
      <c r="D5" s="35">
        <f ca="1"/>
        <v>44202</v>
      </c>
      <c r="E5" s="35">
        <f ca="1"/>
        <v>44203</v>
      </c>
      <c r="F5" s="35">
        <f ca="1"/>
        <v>44204</v>
      </c>
      <c r="G5" s="35">
        <f ca="1"/>
        <v>44205</v>
      </c>
      <c r="H5" s="35">
        <f ca="1"/>
        <v>44206</v>
      </c>
      <c r="J5" s="31">
        <f t="array" aca="1" ref="J5:P5" ca="1">Days+DATE(CalYear,MONTH(Feb_Val),1)-WEEKDAY(DATE(CalYear,MONTH(Feb_Val),1),(WeekStart="Monday")+1)+$A5*7-6</f>
        <v>44235</v>
      </c>
      <c r="K5" s="31">
        <f ca="1"/>
        <v>44236</v>
      </c>
      <c r="L5" s="31">
        <f ca="1"/>
        <v>44237</v>
      </c>
      <c r="M5" s="31">
        <f ca="1"/>
        <v>44238</v>
      </c>
      <c r="N5" s="31">
        <f ca="1"/>
        <v>44239</v>
      </c>
      <c r="O5" s="31">
        <f ca="1"/>
        <v>44240</v>
      </c>
      <c r="P5" s="31">
        <f ca="1"/>
        <v>44241</v>
      </c>
    </row>
    <row r="6" spans="1:22" ht="15.9" customHeight="1" x14ac:dyDescent="0.3">
      <c r="A6" s="36">
        <v>3</v>
      </c>
      <c r="B6" s="35">
        <f t="array" aca="1" ref="B6:H6" ca="1">Days+DATE(CalYear,MONTH(Jan_Val),1)-WEEKDAY(DATE(CalYear,MONTH(Jan_Val),1),(WeekStart="Monday")+1)+$A6*7-6</f>
        <v>44207</v>
      </c>
      <c r="C6" s="35">
        <f ca="1"/>
        <v>44208</v>
      </c>
      <c r="D6" s="35">
        <f ca="1"/>
        <v>44209</v>
      </c>
      <c r="E6" s="35">
        <f ca="1"/>
        <v>44210</v>
      </c>
      <c r="F6" s="35">
        <f ca="1"/>
        <v>44211</v>
      </c>
      <c r="G6" s="35">
        <f ca="1"/>
        <v>44212</v>
      </c>
      <c r="H6" s="35">
        <f ca="1"/>
        <v>44213</v>
      </c>
      <c r="J6" s="31">
        <f t="array" aca="1" ref="J6:P6" ca="1">Days+DATE(CalYear,MONTH(Feb_Val),1)-WEEKDAY(DATE(CalYear,MONTH(Feb_Val),1),(WeekStart="Monday")+1)+$A6*7-6</f>
        <v>44242</v>
      </c>
      <c r="K6" s="31">
        <f ca="1"/>
        <v>44243</v>
      </c>
      <c r="L6" s="31">
        <f ca="1"/>
        <v>44244</v>
      </c>
      <c r="M6" s="31">
        <f ca="1"/>
        <v>44245</v>
      </c>
      <c r="N6" s="31">
        <f ca="1"/>
        <v>44246</v>
      </c>
      <c r="O6" s="31">
        <f ca="1"/>
        <v>44247</v>
      </c>
      <c r="P6" s="31">
        <f ca="1"/>
        <v>44248</v>
      </c>
    </row>
    <row r="7" spans="1:22" ht="15.9" customHeight="1" x14ac:dyDescent="0.3">
      <c r="A7" s="36">
        <v>4</v>
      </c>
      <c r="B7" s="35">
        <f t="array" aca="1" ref="B7:H7" ca="1">Days+DATE(CalYear,MONTH(Jan_Val),1)-WEEKDAY(DATE(CalYear,MONTH(Jan_Val),1),(WeekStart="Monday")+1)+$A7*7-6</f>
        <v>44214</v>
      </c>
      <c r="C7" s="35">
        <f ca="1"/>
        <v>44215</v>
      </c>
      <c r="D7" s="35">
        <f ca="1"/>
        <v>44216</v>
      </c>
      <c r="E7" s="35">
        <f ca="1"/>
        <v>44217</v>
      </c>
      <c r="F7" s="35">
        <f ca="1"/>
        <v>44218</v>
      </c>
      <c r="G7" s="35">
        <f ca="1"/>
        <v>44219</v>
      </c>
      <c r="H7" s="35">
        <f ca="1"/>
        <v>44220</v>
      </c>
      <c r="J7" s="31">
        <f t="array" aca="1" ref="J7:P7" ca="1">Days+DATE(CalYear,MONTH(Feb_Val),1)-WEEKDAY(DATE(CalYear,MONTH(Feb_Val),1),(WeekStart="Monday")+1)+$A7*7-6</f>
        <v>44249</v>
      </c>
      <c r="K7" s="31">
        <f ca="1"/>
        <v>44250</v>
      </c>
      <c r="L7" s="31">
        <f ca="1"/>
        <v>44251</v>
      </c>
      <c r="M7" s="31">
        <f ca="1"/>
        <v>44252</v>
      </c>
      <c r="N7" s="31">
        <f ca="1"/>
        <v>44253</v>
      </c>
      <c r="O7" s="31">
        <f ca="1"/>
        <v>44254</v>
      </c>
      <c r="P7" s="31">
        <f ca="1"/>
        <v>44255</v>
      </c>
    </row>
    <row r="8" spans="1:22" ht="15.9" customHeight="1" x14ac:dyDescent="0.3">
      <c r="A8" s="36">
        <v>5</v>
      </c>
      <c r="B8" s="35">
        <f t="array" aca="1" ref="B8:H8" ca="1">Days+DATE(CalYear,MONTH(Jan_Val),1)-WEEKDAY(DATE(CalYear,MONTH(Jan_Val),1),(WeekStart="Monday")+1)+$A8*7-6</f>
        <v>44221</v>
      </c>
      <c r="C8" s="35">
        <f ca="1"/>
        <v>44222</v>
      </c>
      <c r="D8" s="35">
        <f ca="1"/>
        <v>44223</v>
      </c>
      <c r="E8" s="35">
        <f ca="1"/>
        <v>44224</v>
      </c>
      <c r="F8" s="35">
        <f ca="1"/>
        <v>44225</v>
      </c>
      <c r="G8" s="35">
        <f ca="1"/>
        <v>44226</v>
      </c>
      <c r="H8" s="35">
        <f ca="1"/>
        <v>44227</v>
      </c>
      <c r="J8" s="31">
        <f t="array" aca="1" ref="J8:P8" ca="1">Days+DATE(CalYear,MONTH(Feb_Val),1)-WEEKDAY(DATE(CalYear,MONTH(Feb_Val),1),(WeekStart="Monday")+1)+$A8*7-6</f>
        <v>44256</v>
      </c>
      <c r="K8" s="31">
        <f ca="1"/>
        <v>44257</v>
      </c>
      <c r="L8" s="31">
        <f ca="1"/>
        <v>44258</v>
      </c>
      <c r="M8" s="31">
        <f ca="1"/>
        <v>44259</v>
      </c>
      <c r="N8" s="31">
        <f ca="1"/>
        <v>44260</v>
      </c>
      <c r="O8" s="31">
        <f ca="1"/>
        <v>44261</v>
      </c>
      <c r="P8" s="31">
        <f ca="1"/>
        <v>44262</v>
      </c>
    </row>
    <row r="9" spans="1:22" ht="21.75" customHeight="1" x14ac:dyDescent="0.3">
      <c r="A9" s="36">
        <v>6</v>
      </c>
      <c r="B9" s="35">
        <f t="array" aca="1" ref="B9:H9" ca="1">Days+DATE(CalYear,MONTH(Jan_Val),1)-WEEKDAY(DATE(CalYear,MONTH(Jan_Val),1),(WeekStart="Monday")+1)+$A9*7-6</f>
        <v>44228</v>
      </c>
      <c r="C9" s="35">
        <f ca="1"/>
        <v>44229</v>
      </c>
      <c r="D9" s="35">
        <f ca="1"/>
        <v>44230</v>
      </c>
      <c r="E9" s="35">
        <f ca="1"/>
        <v>44231</v>
      </c>
      <c r="F9" s="35">
        <f ca="1"/>
        <v>44232</v>
      </c>
      <c r="G9" s="35">
        <f ca="1"/>
        <v>44233</v>
      </c>
      <c r="H9" s="35">
        <f ca="1"/>
        <v>44234</v>
      </c>
      <c r="J9" s="31">
        <f t="array" aca="1" ref="J9:P9" ca="1">Days+DATE(CalYear,MONTH(Feb_Val),1)-WEEKDAY(DATE(CalYear,MONTH(Feb_Val),1),(WeekStart="Monday")+1)+$A9*7-6</f>
        <v>44263</v>
      </c>
      <c r="K9" s="31">
        <f ca="1"/>
        <v>44264</v>
      </c>
      <c r="L9" s="31">
        <f ca="1"/>
        <v>44265</v>
      </c>
      <c r="M9" s="31">
        <f ca="1"/>
        <v>44266</v>
      </c>
      <c r="N9" s="31">
        <f ca="1"/>
        <v>44267</v>
      </c>
      <c r="O9" s="31">
        <f ca="1"/>
        <v>44268</v>
      </c>
      <c r="P9" s="31">
        <f ca="1"/>
        <v>44269</v>
      </c>
    </row>
    <row r="10" spans="1:22" ht="21.75" customHeight="1" x14ac:dyDescent="0.3">
      <c r="A10" s="32"/>
      <c r="B10" s="73" t="str">
        <f ca="1">UPPER(TEXT(Mar_Val,"MMMM"))</f>
        <v>MÄRZ</v>
      </c>
      <c r="C10" s="73"/>
      <c r="D10" s="73"/>
      <c r="E10" s="73"/>
      <c r="F10" s="73"/>
      <c r="G10" s="73"/>
      <c r="H10" s="73"/>
      <c r="J10" s="73" t="str">
        <f ca="1">UPPER(TEXT(Apl_Val,"MMMM"))</f>
        <v>APRIL</v>
      </c>
      <c r="K10" s="73"/>
      <c r="L10" s="73"/>
      <c r="M10" s="73"/>
      <c r="N10" s="73"/>
      <c r="O10" s="73"/>
      <c r="P10" s="73"/>
    </row>
    <row r="11" spans="1:22" ht="21.75" customHeight="1" x14ac:dyDescent="0.3">
      <c r="A11" s="32"/>
      <c r="B11" s="33" t="str">
        <f>CHOOSE(1+(WeekStart="Monday"),"Su","Mo","Tu","We","Th","Fr","Sa","Su")</f>
        <v>Mo</v>
      </c>
      <c r="C11" s="33" t="str">
        <f>CHOOSE(2+(WeekStart="Monday"),"Su","Mo","Tu","We","Th","Fr","Sa","Su")</f>
        <v>Tu</v>
      </c>
      <c r="D11" s="33" t="str">
        <f>CHOOSE(3+(WeekStart="Monday"),"Su","Mo","Tu","We","Th","Fr","Sa","Su")</f>
        <v>We</v>
      </c>
      <c r="E11" s="33" t="str">
        <f>CHOOSE(4+(WeekStart="Monday"),"Su","Mo","Tu","We","Th","Fr","Sa","Su")</f>
        <v>Th</v>
      </c>
      <c r="F11" s="33" t="str">
        <f>CHOOSE(5+(WeekStart="Monday"),"Su","Mo","Tu","We","Th","Fr","Sa","Su")</f>
        <v>Fr</v>
      </c>
      <c r="G11" s="33" t="str">
        <f>CHOOSE(6+(WeekStart="Monday"),"Su","Mo","Tu","We","Th","Fr","Sa","Su")</f>
        <v>Sa</v>
      </c>
      <c r="H11" s="33" t="str">
        <f>CHOOSE(7+(WeekStart="Monday"),"Su","Mo","Tu","We","Th","Fr","Sa","Su")</f>
        <v>Su</v>
      </c>
      <c r="J11" s="33" t="str">
        <f>CHOOSE(1+(WeekStart="Monday"),"Su","Mo","Tu","We","Th","Fr","Sa","Su")</f>
        <v>Mo</v>
      </c>
      <c r="K11" s="33" t="str">
        <f>CHOOSE(2+(WeekStart="Monday"),"Su","Mo","Tu","We","Th","Fr","Sa","Su")</f>
        <v>Tu</v>
      </c>
      <c r="L11" s="33" t="str">
        <f>CHOOSE(3+(WeekStart="Monday"),"Su","Mo","Tu","We","Th","Fr","Sa","Su")</f>
        <v>We</v>
      </c>
      <c r="M11" s="33" t="str">
        <f>CHOOSE(4+(WeekStart="Monday"),"Su","Mo","Tu","We","Th","Fr","Sa","Su")</f>
        <v>Th</v>
      </c>
      <c r="N11" s="33" t="str">
        <f>CHOOSE(5+(WeekStart="Monday"),"Su","Mo","Tu","We","Th","Fr","Sa","Su")</f>
        <v>Fr</v>
      </c>
      <c r="O11" s="33" t="str">
        <f>CHOOSE(6+(WeekStart="Monday"),"Su","Mo","Tu","We","Th","Fr","Sa","Su")</f>
        <v>Sa</v>
      </c>
      <c r="P11" s="33" t="str">
        <f>CHOOSE(7+(WeekStart="Monday"),"Su","Mo","Tu","We","Th","Fr","Sa","Su")</f>
        <v>Su</v>
      </c>
    </row>
    <row r="12" spans="1:22" ht="15.9" customHeight="1" x14ac:dyDescent="0.3">
      <c r="A12" s="32"/>
      <c r="B12" s="31">
        <f t="array" aca="1" ref="B12:H12" ca="1">Days+DATE(CalYear,MONTH(Mar_Val),1)-WEEKDAY(DATE(CalYear,MONTH(Mar_Val),1),(WeekStart="Monday")+1)+$A4*7-6</f>
        <v>44256</v>
      </c>
      <c r="C12" s="31">
        <f ca="1"/>
        <v>44257</v>
      </c>
      <c r="D12" s="31">
        <f ca="1"/>
        <v>44258</v>
      </c>
      <c r="E12" s="31">
        <f ca="1"/>
        <v>44259</v>
      </c>
      <c r="F12" s="31">
        <f ca="1"/>
        <v>44260</v>
      </c>
      <c r="G12" s="31">
        <f ca="1"/>
        <v>44261</v>
      </c>
      <c r="H12" s="31">
        <f ca="1"/>
        <v>44262</v>
      </c>
      <c r="J12" s="31">
        <f t="array" aca="1" ref="J12:P12" ca="1">Days+DATE(CalYear,MONTH(Apl_Val),1)-WEEKDAY(DATE(CalYear,MONTH(Apl_Val),1),(WeekStart="Monday")+1)+$A4*7-6</f>
        <v>44284</v>
      </c>
      <c r="K12" s="31">
        <f ca="1"/>
        <v>44285</v>
      </c>
      <c r="L12" s="31">
        <f ca="1"/>
        <v>44286</v>
      </c>
      <c r="M12" s="31">
        <f ca="1"/>
        <v>44287</v>
      </c>
      <c r="N12" s="31">
        <f ca="1"/>
        <v>44288</v>
      </c>
      <c r="O12" s="31">
        <f ca="1"/>
        <v>44289</v>
      </c>
      <c r="P12" s="31">
        <f ca="1"/>
        <v>44290</v>
      </c>
    </row>
    <row r="13" spans="1:22" ht="15.9" customHeight="1" x14ac:dyDescent="0.3">
      <c r="A13" s="32"/>
      <c r="B13" s="31">
        <f t="array" aca="1" ref="B13:H13" ca="1">Days+DATE(CalYear,MONTH(Mar_Val),1)-WEEKDAY(DATE(CalYear,MONTH(Mar_Val),1),(WeekStart="Monday")+1)+$A5*7-6</f>
        <v>44263</v>
      </c>
      <c r="C13" s="31">
        <f ca="1"/>
        <v>44264</v>
      </c>
      <c r="D13" s="31">
        <f ca="1"/>
        <v>44265</v>
      </c>
      <c r="E13" s="31">
        <f ca="1"/>
        <v>44266</v>
      </c>
      <c r="F13" s="31">
        <f ca="1"/>
        <v>44267</v>
      </c>
      <c r="G13" s="31">
        <f ca="1"/>
        <v>44268</v>
      </c>
      <c r="H13" s="31">
        <f ca="1"/>
        <v>44269</v>
      </c>
      <c r="J13" s="31">
        <f t="array" aca="1" ref="J13:P13" ca="1">Days+DATE(CalYear,MONTH(Apl_Val),1)-WEEKDAY(DATE(CalYear,MONTH(Apl_Val),1),(WeekStart="Monday")+1)+$A5*7-6</f>
        <v>44291</v>
      </c>
      <c r="K13" s="31">
        <f ca="1"/>
        <v>44292</v>
      </c>
      <c r="L13" s="31">
        <f ca="1"/>
        <v>44293</v>
      </c>
      <c r="M13" s="31">
        <f ca="1"/>
        <v>44294</v>
      </c>
      <c r="N13" s="31">
        <f ca="1"/>
        <v>44295</v>
      </c>
      <c r="O13" s="31">
        <f ca="1"/>
        <v>44296</v>
      </c>
      <c r="P13" s="31">
        <f ca="1"/>
        <v>44297</v>
      </c>
    </row>
    <row r="14" spans="1:22" ht="15.9" customHeight="1" x14ac:dyDescent="0.3">
      <c r="A14" s="32"/>
      <c r="B14" s="31">
        <f t="array" aca="1" ref="B14:H14" ca="1">Days+DATE(CalYear,MONTH(Mar_Val),1)-WEEKDAY(DATE(CalYear,MONTH(Mar_Val),1),(WeekStart="Monday")+1)+$A6*7-6</f>
        <v>44270</v>
      </c>
      <c r="C14" s="31">
        <f ca="1"/>
        <v>44271</v>
      </c>
      <c r="D14" s="31">
        <f ca="1"/>
        <v>44272</v>
      </c>
      <c r="E14" s="31">
        <f ca="1"/>
        <v>44273</v>
      </c>
      <c r="F14" s="31">
        <f ca="1"/>
        <v>44274</v>
      </c>
      <c r="G14" s="31">
        <f ca="1"/>
        <v>44275</v>
      </c>
      <c r="H14" s="31">
        <f ca="1"/>
        <v>44276</v>
      </c>
      <c r="J14" s="31">
        <f t="array" aca="1" ref="J14:P14" ca="1">Days+DATE(CalYear,MONTH(Apl_Val),1)-WEEKDAY(DATE(CalYear,MONTH(Apl_Val),1),(WeekStart="Monday")+1)+$A6*7-6</f>
        <v>44298</v>
      </c>
      <c r="K14" s="31">
        <f ca="1"/>
        <v>44299</v>
      </c>
      <c r="L14" s="31">
        <f ca="1"/>
        <v>44300</v>
      </c>
      <c r="M14" s="31">
        <f ca="1"/>
        <v>44301</v>
      </c>
      <c r="N14" s="31">
        <f ca="1"/>
        <v>44302</v>
      </c>
      <c r="O14" s="31">
        <f ca="1"/>
        <v>44303</v>
      </c>
      <c r="P14" s="31">
        <f ca="1"/>
        <v>44304</v>
      </c>
    </row>
    <row r="15" spans="1:22" ht="15.9" customHeight="1" x14ac:dyDescent="0.3">
      <c r="A15" s="32"/>
      <c r="B15" s="31">
        <f t="array" aca="1" ref="B15:H15" ca="1">Days+DATE(CalYear,MONTH(Mar_Val),1)-WEEKDAY(DATE(CalYear,MONTH(Mar_Val),1),(WeekStart="Monday")+1)+$A7*7-6</f>
        <v>44277</v>
      </c>
      <c r="C15" s="31">
        <f ca="1"/>
        <v>44278</v>
      </c>
      <c r="D15" s="31">
        <f ca="1"/>
        <v>44279</v>
      </c>
      <c r="E15" s="31">
        <f ca="1"/>
        <v>44280</v>
      </c>
      <c r="F15" s="31">
        <f ca="1"/>
        <v>44281</v>
      </c>
      <c r="G15" s="31">
        <f ca="1"/>
        <v>44282</v>
      </c>
      <c r="H15" s="31">
        <f ca="1"/>
        <v>44283</v>
      </c>
      <c r="J15" s="31">
        <f t="array" aca="1" ref="J15:P15" ca="1">Days+DATE(CalYear,MONTH(Apl_Val),1)-WEEKDAY(DATE(CalYear,MONTH(Apl_Val),1),(WeekStart="Monday")+1)+$A7*7-6</f>
        <v>44305</v>
      </c>
      <c r="K15" s="31">
        <f ca="1"/>
        <v>44306</v>
      </c>
      <c r="L15" s="31">
        <f ca="1"/>
        <v>44307</v>
      </c>
      <c r="M15" s="31">
        <f ca="1"/>
        <v>44308</v>
      </c>
      <c r="N15" s="31">
        <f ca="1"/>
        <v>44309</v>
      </c>
      <c r="O15" s="31">
        <f ca="1"/>
        <v>44310</v>
      </c>
      <c r="P15" s="31">
        <f ca="1"/>
        <v>44311</v>
      </c>
    </row>
    <row r="16" spans="1:22" ht="15.9" customHeight="1" x14ac:dyDescent="0.3">
      <c r="A16" s="32"/>
      <c r="B16" s="31">
        <f t="array" aca="1" ref="B16:H16" ca="1">Days+DATE(CalYear,MONTH(Mar_Val),1)-WEEKDAY(DATE(CalYear,MONTH(Mar_Val),1),(WeekStart="Monday")+1)+$A8*7-6</f>
        <v>44284</v>
      </c>
      <c r="C16" s="31">
        <f ca="1"/>
        <v>44285</v>
      </c>
      <c r="D16" s="31">
        <f ca="1"/>
        <v>44286</v>
      </c>
      <c r="E16" s="31">
        <f ca="1"/>
        <v>44287</v>
      </c>
      <c r="F16" s="31">
        <f ca="1"/>
        <v>44288</v>
      </c>
      <c r="G16" s="31">
        <f ca="1"/>
        <v>44289</v>
      </c>
      <c r="H16" s="31">
        <f ca="1"/>
        <v>44290</v>
      </c>
      <c r="J16" s="31">
        <f t="array" aca="1" ref="J16:P16" ca="1">Days+DATE(CalYear,MONTH(Apl_Val),1)-WEEKDAY(DATE(CalYear,MONTH(Apl_Val),1),(WeekStart="Monday")+1)+$A8*7-6</f>
        <v>44312</v>
      </c>
      <c r="K16" s="31">
        <f ca="1"/>
        <v>44313</v>
      </c>
      <c r="L16" s="31">
        <f ca="1"/>
        <v>44314</v>
      </c>
      <c r="M16" s="31">
        <f ca="1"/>
        <v>44315</v>
      </c>
      <c r="N16" s="31">
        <f ca="1"/>
        <v>44316</v>
      </c>
      <c r="O16" s="31">
        <f ca="1"/>
        <v>44317</v>
      </c>
      <c r="P16" s="31">
        <f ca="1"/>
        <v>44318</v>
      </c>
    </row>
    <row r="17" spans="1:16" ht="21.75" customHeight="1" x14ac:dyDescent="0.3">
      <c r="A17" s="32"/>
      <c r="B17" s="31">
        <f t="array" aca="1" ref="B17:H17" ca="1">Days+DATE(CalYear,MONTH(Mar_Val),1)-WEEKDAY(DATE(CalYear,MONTH(Mar_Val),1),(WeekStart="Monday")+1)+$A9*7-6</f>
        <v>44291</v>
      </c>
      <c r="C17" s="31">
        <f ca="1"/>
        <v>44292</v>
      </c>
      <c r="D17" s="31">
        <f ca="1"/>
        <v>44293</v>
      </c>
      <c r="E17" s="31">
        <f ca="1"/>
        <v>44294</v>
      </c>
      <c r="F17" s="31">
        <f ca="1"/>
        <v>44295</v>
      </c>
      <c r="G17" s="31">
        <f ca="1"/>
        <v>44296</v>
      </c>
      <c r="H17" s="31">
        <f ca="1"/>
        <v>44297</v>
      </c>
      <c r="J17" s="31">
        <f t="array" aca="1" ref="J17:P17" ca="1">Days+DATE(CalYear,MONTH(Apl_Val),1)-WEEKDAY(DATE(CalYear,MONTH(Apl_Val),1),(WeekStart="Monday")+1)+$A9*7-6</f>
        <v>44319</v>
      </c>
      <c r="K17" s="31">
        <f ca="1"/>
        <v>44320</v>
      </c>
      <c r="L17" s="31">
        <f ca="1"/>
        <v>44321</v>
      </c>
      <c r="M17" s="31">
        <f ca="1"/>
        <v>44322</v>
      </c>
      <c r="N17" s="31">
        <f ca="1"/>
        <v>44323</v>
      </c>
      <c r="O17" s="31">
        <f ca="1"/>
        <v>44324</v>
      </c>
      <c r="P17" s="31">
        <f ca="1"/>
        <v>44325</v>
      </c>
    </row>
    <row r="18" spans="1:16" ht="21.75" customHeight="1" x14ac:dyDescent="0.3">
      <c r="A18" s="32"/>
      <c r="B18" s="73" t="str">
        <f ca="1">UPPER(TEXT(May_Val,"MMMM"))</f>
        <v>MAI</v>
      </c>
      <c r="C18" s="73"/>
      <c r="D18" s="73"/>
      <c r="E18" s="73"/>
      <c r="F18" s="73"/>
      <c r="G18" s="73"/>
      <c r="H18" s="73"/>
      <c r="J18" s="73" t="str">
        <f ca="1">UPPER(TEXT(June_Val,"MMMM"))</f>
        <v>JUNI</v>
      </c>
      <c r="K18" s="73"/>
      <c r="L18" s="73"/>
      <c r="M18" s="73"/>
      <c r="N18" s="73"/>
      <c r="O18" s="73"/>
      <c r="P18" s="73"/>
    </row>
    <row r="19" spans="1:16" ht="21.75" customHeight="1" x14ac:dyDescent="0.3">
      <c r="A19" s="32"/>
      <c r="B19" s="33" t="str">
        <f>CHOOSE(1+(WeekStart="Monday"),"Su","Mo","Tu","We","Th","Fr","Sa","Su")</f>
        <v>Mo</v>
      </c>
      <c r="C19" s="33" t="str">
        <f>CHOOSE(2+(WeekStart="Monday"),"Su","Mo","Tu","We","Th","Fr","Sa","Su")</f>
        <v>Tu</v>
      </c>
      <c r="D19" s="33" t="str">
        <f>CHOOSE(3+(WeekStart="Monday"),"Su","Mo","Tu","We","Th","Fr","Sa","Su")</f>
        <v>We</v>
      </c>
      <c r="E19" s="33" t="str">
        <f>CHOOSE(4+(WeekStart="Monday"),"Su","Mo","Tu","We","Th","Fr","Sa","Su")</f>
        <v>Th</v>
      </c>
      <c r="F19" s="33" t="str">
        <f>CHOOSE(5+(WeekStart="Monday"),"Su","Mo","Tu","We","Th","Fr","Sa","Su")</f>
        <v>Fr</v>
      </c>
      <c r="G19" s="33" t="str">
        <f>CHOOSE(6+(WeekStart="Monday"),"Su","Mo","Tu","We","Th","Fr","Sa","Su")</f>
        <v>Sa</v>
      </c>
      <c r="H19" s="33" t="str">
        <f>CHOOSE(7+(WeekStart="Monday"),"Su","Mo","Tu","We","Th","Fr","Sa","Su")</f>
        <v>Su</v>
      </c>
      <c r="J19" s="33" t="str">
        <f>CHOOSE(1+(WeekStart="Monday"),"Su","Mo","Tu","We","Th","Fr","Sa","Su")</f>
        <v>Mo</v>
      </c>
      <c r="K19" s="33" t="str">
        <f>CHOOSE(2+(WeekStart="Monday"),"Su","Mo","Tu","We","Th","Fr","Sa","Su")</f>
        <v>Tu</v>
      </c>
      <c r="L19" s="33" t="str">
        <f>CHOOSE(3+(WeekStart="Monday"),"Su","Mo","Tu","We","Th","Fr","Sa","Su")</f>
        <v>We</v>
      </c>
      <c r="M19" s="33" t="str">
        <f>CHOOSE(4+(WeekStart="Monday"),"Su","Mo","Tu","We","Th","Fr","Sa","Su")</f>
        <v>Th</v>
      </c>
      <c r="N19" s="33" t="str">
        <f>CHOOSE(5+(WeekStart="Monday"),"Su","Mo","Tu","We","Th","Fr","Sa","Su")</f>
        <v>Fr</v>
      </c>
      <c r="O19" s="33" t="str">
        <f>CHOOSE(6+(WeekStart="Monday"),"Su","Mo","Tu","We","Th","Fr","Sa","Su")</f>
        <v>Sa</v>
      </c>
      <c r="P19" s="33" t="str">
        <f>CHOOSE(7+(WeekStart="Monday"),"Su","Mo","Tu","We","Th","Fr","Sa","Su")</f>
        <v>Su</v>
      </c>
    </row>
    <row r="20" spans="1:16" ht="15.9" customHeight="1" x14ac:dyDescent="0.3">
      <c r="A20" s="34">
        <v>1</v>
      </c>
      <c r="B20" s="31">
        <f t="array" aca="1" ref="B20:H20" ca="1">Days+DATE(CalYear,MONTH(May_Val),1)-WEEKDAY(DATE(CalYear,MONTH(May_Val),1),(WeekStart="Monday")+1)+$A20*7-6</f>
        <v>44312</v>
      </c>
      <c r="C20" s="31">
        <f ca="1"/>
        <v>44313</v>
      </c>
      <c r="D20" s="31">
        <f ca="1"/>
        <v>44314</v>
      </c>
      <c r="E20" s="31">
        <f ca="1"/>
        <v>44315</v>
      </c>
      <c r="F20" s="31">
        <f ca="1"/>
        <v>44316</v>
      </c>
      <c r="G20" s="31">
        <f ca="1"/>
        <v>44317</v>
      </c>
      <c r="H20" s="31">
        <f ca="1"/>
        <v>44318</v>
      </c>
      <c r="J20" s="31">
        <f t="array" aca="1" ref="J20:P20" ca="1">Days+DATE(CalYear,MONTH(June_Val),1)-WEEKDAY(DATE(CalYear,MONTH(June_Val),1),(WeekStart="Monday")+1)+$A20*7-6</f>
        <v>44347</v>
      </c>
      <c r="K20" s="31">
        <f ca="1"/>
        <v>44348</v>
      </c>
      <c r="L20" s="31">
        <f ca="1"/>
        <v>44349</v>
      </c>
      <c r="M20" s="31">
        <f ca="1"/>
        <v>44350</v>
      </c>
      <c r="N20" s="31">
        <f ca="1"/>
        <v>44351</v>
      </c>
      <c r="O20" s="31">
        <f ca="1"/>
        <v>44352</v>
      </c>
      <c r="P20" s="31">
        <f ca="1"/>
        <v>44353</v>
      </c>
    </row>
    <row r="21" spans="1:16" ht="15.9" customHeight="1" x14ac:dyDescent="0.3">
      <c r="A21" s="34">
        <v>2</v>
      </c>
      <c r="B21" s="31">
        <f t="array" aca="1" ref="B21:H21" ca="1">Days+DATE(CalYear,MONTH(May_Val),1)-WEEKDAY(DATE(CalYear,MONTH(May_Val),1),(WeekStart="Monday")+1)+$A21*7-6</f>
        <v>44319</v>
      </c>
      <c r="C21" s="31">
        <f ca="1"/>
        <v>44320</v>
      </c>
      <c r="D21" s="31">
        <f ca="1"/>
        <v>44321</v>
      </c>
      <c r="E21" s="31">
        <f ca="1"/>
        <v>44322</v>
      </c>
      <c r="F21" s="31">
        <f ca="1"/>
        <v>44323</v>
      </c>
      <c r="G21" s="31">
        <f ca="1"/>
        <v>44324</v>
      </c>
      <c r="H21" s="31">
        <f ca="1"/>
        <v>44325</v>
      </c>
      <c r="J21" s="31">
        <f t="array" aca="1" ref="J21:P21" ca="1">Days+DATE(CalYear,MONTH(June_Val),1)-WEEKDAY(DATE(CalYear,MONTH(June_Val),1),(WeekStart="Monday")+1)+$A21*7-6</f>
        <v>44354</v>
      </c>
      <c r="K21" s="31">
        <f ca="1"/>
        <v>44355</v>
      </c>
      <c r="L21" s="31">
        <f ca="1"/>
        <v>44356</v>
      </c>
      <c r="M21" s="31">
        <f ca="1"/>
        <v>44357</v>
      </c>
      <c r="N21" s="31">
        <f ca="1"/>
        <v>44358</v>
      </c>
      <c r="O21" s="31">
        <f ca="1"/>
        <v>44359</v>
      </c>
      <c r="P21" s="31">
        <f ca="1"/>
        <v>44360</v>
      </c>
    </row>
    <row r="22" spans="1:16" ht="15.9" customHeight="1" x14ac:dyDescent="0.3">
      <c r="A22" s="34">
        <v>3</v>
      </c>
      <c r="B22" s="31">
        <f t="array" aca="1" ref="B22:H22" ca="1">Days+DATE(CalYear,MONTH(May_Val),1)-WEEKDAY(DATE(CalYear,MONTH(May_Val),1),(WeekStart="Monday")+1)+$A22*7-6</f>
        <v>44326</v>
      </c>
      <c r="C22" s="31">
        <f ca="1"/>
        <v>44327</v>
      </c>
      <c r="D22" s="31">
        <f ca="1"/>
        <v>44328</v>
      </c>
      <c r="E22" s="31">
        <f ca="1"/>
        <v>44329</v>
      </c>
      <c r="F22" s="31">
        <f ca="1"/>
        <v>44330</v>
      </c>
      <c r="G22" s="31">
        <f ca="1"/>
        <v>44331</v>
      </c>
      <c r="H22" s="31">
        <f ca="1"/>
        <v>44332</v>
      </c>
      <c r="J22" s="31">
        <f t="array" aca="1" ref="J22:P22" ca="1">Days+DATE(CalYear,MONTH(June_Val),1)-WEEKDAY(DATE(CalYear,MONTH(June_Val),1),(WeekStart="Monday")+1)+$A22*7-6</f>
        <v>44361</v>
      </c>
      <c r="K22" s="31">
        <f ca="1"/>
        <v>44362</v>
      </c>
      <c r="L22" s="31">
        <f ca="1"/>
        <v>44363</v>
      </c>
      <c r="M22" s="31">
        <f ca="1"/>
        <v>44364</v>
      </c>
      <c r="N22" s="31">
        <f ca="1"/>
        <v>44365</v>
      </c>
      <c r="O22" s="31">
        <f ca="1"/>
        <v>44366</v>
      </c>
      <c r="P22" s="31">
        <f ca="1"/>
        <v>44367</v>
      </c>
    </row>
    <row r="23" spans="1:16" ht="15.9" customHeight="1" x14ac:dyDescent="0.3">
      <c r="A23" s="34">
        <v>4</v>
      </c>
      <c r="B23" s="31">
        <f t="array" aca="1" ref="B23:H23" ca="1">Days+DATE(CalYear,MONTH(May_Val),1)-WEEKDAY(DATE(CalYear,MONTH(May_Val),1),(WeekStart="Monday")+1)+$A23*7-6</f>
        <v>44333</v>
      </c>
      <c r="C23" s="31">
        <f ca="1"/>
        <v>44334</v>
      </c>
      <c r="D23" s="31">
        <f ca="1"/>
        <v>44335</v>
      </c>
      <c r="E23" s="31">
        <f ca="1"/>
        <v>44336</v>
      </c>
      <c r="F23" s="31">
        <f ca="1"/>
        <v>44337</v>
      </c>
      <c r="G23" s="31">
        <f ca="1"/>
        <v>44338</v>
      </c>
      <c r="H23" s="31">
        <f ca="1"/>
        <v>44339</v>
      </c>
      <c r="J23" s="31">
        <f t="array" aca="1" ref="J23:P23" ca="1">Days+DATE(CalYear,MONTH(June_Val),1)-WEEKDAY(DATE(CalYear,MONTH(June_Val),1),(WeekStart="Monday")+1)+$A23*7-6</f>
        <v>44368</v>
      </c>
      <c r="K23" s="31">
        <f ca="1"/>
        <v>44369</v>
      </c>
      <c r="L23" s="31">
        <f ca="1"/>
        <v>44370</v>
      </c>
      <c r="M23" s="31">
        <f ca="1"/>
        <v>44371</v>
      </c>
      <c r="N23" s="31">
        <f ca="1"/>
        <v>44372</v>
      </c>
      <c r="O23" s="31">
        <f ca="1"/>
        <v>44373</v>
      </c>
      <c r="P23" s="31">
        <f ca="1"/>
        <v>44374</v>
      </c>
    </row>
    <row r="24" spans="1:16" ht="15.9" customHeight="1" x14ac:dyDescent="0.3">
      <c r="A24" s="34">
        <v>5</v>
      </c>
      <c r="B24" s="31">
        <f t="array" aca="1" ref="B24:H24" ca="1">Days+DATE(CalYear,MONTH(May_Val),1)-WEEKDAY(DATE(CalYear,MONTH(May_Val),1),(WeekStart="Monday")+1)+$A24*7-6</f>
        <v>44340</v>
      </c>
      <c r="C24" s="31">
        <f ca="1"/>
        <v>44341</v>
      </c>
      <c r="D24" s="31">
        <f ca="1"/>
        <v>44342</v>
      </c>
      <c r="E24" s="31">
        <f ca="1"/>
        <v>44343</v>
      </c>
      <c r="F24" s="31">
        <f ca="1"/>
        <v>44344</v>
      </c>
      <c r="G24" s="31">
        <f ca="1"/>
        <v>44345</v>
      </c>
      <c r="H24" s="31">
        <f ca="1"/>
        <v>44346</v>
      </c>
      <c r="J24" s="31">
        <f t="array" aca="1" ref="J24:P24" ca="1">Days+DATE(CalYear,MONTH(June_Val),1)-WEEKDAY(DATE(CalYear,MONTH(June_Val),1),(WeekStart="Monday")+1)+$A24*7-6</f>
        <v>44375</v>
      </c>
      <c r="K24" s="31">
        <f ca="1"/>
        <v>44376</v>
      </c>
      <c r="L24" s="31">
        <f ca="1"/>
        <v>44377</v>
      </c>
      <c r="M24" s="31">
        <f ca="1"/>
        <v>44378</v>
      </c>
      <c r="N24" s="31">
        <f ca="1"/>
        <v>44379</v>
      </c>
      <c r="O24" s="31">
        <f ca="1"/>
        <v>44380</v>
      </c>
      <c r="P24" s="31">
        <f ca="1"/>
        <v>44381</v>
      </c>
    </row>
    <row r="25" spans="1:16" ht="21.75" customHeight="1" x14ac:dyDescent="0.3">
      <c r="A25" s="34">
        <v>6</v>
      </c>
      <c r="B25" s="31">
        <f t="array" aca="1" ref="B25:H25" ca="1">Days+DATE(CalYear,MONTH(May_Val),1)-WEEKDAY(DATE(CalYear,MONTH(May_Val),1),(WeekStart="Monday")+1)+$A25*7-6</f>
        <v>44347</v>
      </c>
      <c r="C25" s="31">
        <f ca="1"/>
        <v>44348</v>
      </c>
      <c r="D25" s="31">
        <f ca="1"/>
        <v>44349</v>
      </c>
      <c r="E25" s="31">
        <f ca="1"/>
        <v>44350</v>
      </c>
      <c r="F25" s="31">
        <f ca="1"/>
        <v>44351</v>
      </c>
      <c r="G25" s="31">
        <f ca="1"/>
        <v>44352</v>
      </c>
      <c r="H25" s="31">
        <f ca="1"/>
        <v>44353</v>
      </c>
      <c r="J25" s="31">
        <f t="array" aca="1" ref="J25:P25" ca="1">Days+DATE(CalYear,MONTH(June_Val),1)-WEEKDAY(DATE(CalYear,MONTH(June_Val),1),(WeekStart="Monday")+1)+$A25*7-6</f>
        <v>44382</v>
      </c>
      <c r="K25" s="31">
        <f ca="1"/>
        <v>44383</v>
      </c>
      <c r="L25" s="31">
        <f ca="1"/>
        <v>44384</v>
      </c>
      <c r="M25" s="31">
        <f ca="1"/>
        <v>44385</v>
      </c>
      <c r="N25" s="31">
        <f ca="1"/>
        <v>44386</v>
      </c>
      <c r="O25" s="31">
        <f ca="1"/>
        <v>44387</v>
      </c>
      <c r="P25" s="31">
        <f ca="1"/>
        <v>44388</v>
      </c>
    </row>
    <row r="26" spans="1:16" ht="21.75" customHeight="1" x14ac:dyDescent="0.3">
      <c r="A26" s="32"/>
      <c r="B26" s="73" t="str">
        <f ca="1">UPPER(TEXT(July_Val,"MMMM"))</f>
        <v>JULI</v>
      </c>
      <c r="C26" s="73"/>
      <c r="D26" s="73"/>
      <c r="E26" s="73"/>
      <c r="F26" s="73"/>
      <c r="G26" s="73"/>
      <c r="H26" s="73"/>
      <c r="J26" s="73" t="str">
        <f ca="1">UPPER(TEXT(Aug_Val,"MMMM"))</f>
        <v>AUGUST</v>
      </c>
      <c r="K26" s="73"/>
      <c r="L26" s="73"/>
      <c r="M26" s="73"/>
      <c r="N26" s="73"/>
      <c r="O26" s="73"/>
      <c r="P26" s="73"/>
    </row>
    <row r="27" spans="1:16" ht="21.75" customHeight="1" x14ac:dyDescent="0.3">
      <c r="A27" s="32"/>
      <c r="B27" s="33" t="str">
        <f>CHOOSE(1+(WeekStart="Monday"),"Su","Mo","Tu","We","Th","Fr","Sa","Su")</f>
        <v>Mo</v>
      </c>
      <c r="C27" s="33" t="str">
        <f>CHOOSE(2+(WeekStart="Monday"),"Su","Mo","Tu","We","Th","Fr","Sa","Su")</f>
        <v>Tu</v>
      </c>
      <c r="D27" s="33" t="str">
        <f>CHOOSE(3+(WeekStart="Monday"),"Su","Mo","Tu","We","Th","Fr","Sa","Su")</f>
        <v>We</v>
      </c>
      <c r="E27" s="33" t="str">
        <f>CHOOSE(4+(WeekStart="Monday"),"Su","Mo","Tu","We","Th","Fr","Sa","Su")</f>
        <v>Th</v>
      </c>
      <c r="F27" s="33" t="str">
        <f>CHOOSE(5+(WeekStart="Monday"),"Su","Mo","Tu","We","Th","Fr","Sa","Su")</f>
        <v>Fr</v>
      </c>
      <c r="G27" s="33" t="str">
        <f>CHOOSE(6+(WeekStart="Monday"),"Su","Mo","Tu","We","Th","Fr","Sa","Su")</f>
        <v>Sa</v>
      </c>
      <c r="H27" s="33" t="str">
        <f>CHOOSE(7+(WeekStart="Monday"),"Su","Mo","Tu","We","Th","Fr","Sa","Su")</f>
        <v>Su</v>
      </c>
      <c r="J27" s="33" t="str">
        <f>CHOOSE(1+(WeekStart="Monday"),"Su","Mo","Tu","We","Th","Fr","Sa","Su")</f>
        <v>Mo</v>
      </c>
      <c r="K27" s="33" t="str">
        <f>CHOOSE(2+(WeekStart="Monday"),"Su","Mo","Tu","We","Th","Fr","Sa","Su")</f>
        <v>Tu</v>
      </c>
      <c r="L27" s="33" t="str">
        <f>CHOOSE(3+(WeekStart="Monday"),"Su","Mo","Tu","We","Th","Fr","Sa","Su")</f>
        <v>We</v>
      </c>
      <c r="M27" s="33" t="str">
        <f>CHOOSE(4+(WeekStart="Monday"),"Su","Mo","Tu","We","Th","Fr","Sa","Su")</f>
        <v>Th</v>
      </c>
      <c r="N27" s="33" t="str">
        <f>CHOOSE(5+(WeekStart="Monday"),"Su","Mo","Tu","We","Th","Fr","Sa","Su")</f>
        <v>Fr</v>
      </c>
      <c r="O27" s="33" t="str">
        <f>CHOOSE(6+(WeekStart="Monday"),"Su","Mo","Tu","We","Th","Fr","Sa","Su")</f>
        <v>Sa</v>
      </c>
      <c r="P27" s="33" t="str">
        <f>CHOOSE(7+(WeekStart="Monday"),"Su","Mo","Tu","We","Th","Fr","Sa","Su")</f>
        <v>Su</v>
      </c>
    </row>
    <row r="28" spans="1:16" ht="15.9" customHeight="1" x14ac:dyDescent="0.3">
      <c r="A28" s="32"/>
      <c r="B28" s="31">
        <f t="array" aca="1" ref="B28:H28" ca="1">Days+DATE(CalYear,MONTH(July_Val),1)-WEEKDAY(DATE(CalYear,MONTH(July_Val),1),(WeekStart="Monday")+1)+$A20*7-6</f>
        <v>44375</v>
      </c>
      <c r="C28" s="31">
        <f ca="1"/>
        <v>44376</v>
      </c>
      <c r="D28" s="31">
        <f ca="1"/>
        <v>44377</v>
      </c>
      <c r="E28" s="31">
        <f ca="1"/>
        <v>44378</v>
      </c>
      <c r="F28" s="31">
        <f ca="1"/>
        <v>44379</v>
      </c>
      <c r="G28" s="31">
        <f ca="1"/>
        <v>44380</v>
      </c>
      <c r="H28" s="31">
        <f ca="1"/>
        <v>44381</v>
      </c>
      <c r="J28" s="31">
        <f t="array" aca="1" ref="J28:P28" ca="1">Days+DATE(CalYear,MONTH(Aug_Val),1)-WEEKDAY(DATE(CalYear,MONTH(Aug_Val),1),(WeekStart="Monday")+1)+$A20*7-6</f>
        <v>44403</v>
      </c>
      <c r="K28" s="31">
        <f ca="1"/>
        <v>44404</v>
      </c>
      <c r="L28" s="31">
        <f ca="1"/>
        <v>44405</v>
      </c>
      <c r="M28" s="31">
        <f ca="1"/>
        <v>44406</v>
      </c>
      <c r="N28" s="31">
        <f ca="1"/>
        <v>44407</v>
      </c>
      <c r="O28" s="31">
        <f ca="1"/>
        <v>44408</v>
      </c>
      <c r="P28" s="31">
        <f ca="1"/>
        <v>44409</v>
      </c>
    </row>
    <row r="29" spans="1:16" ht="15.9" customHeight="1" x14ac:dyDescent="0.3">
      <c r="A29" s="32"/>
      <c r="B29" s="31">
        <f t="array" aca="1" ref="B29:H29" ca="1">Days+DATE(CalYear,MONTH(July_Val),1)-WEEKDAY(DATE(CalYear,MONTH(July_Val),1),(WeekStart="Monday")+1)+$A21*7-6</f>
        <v>44382</v>
      </c>
      <c r="C29" s="31">
        <f ca="1"/>
        <v>44383</v>
      </c>
      <c r="D29" s="31">
        <f ca="1"/>
        <v>44384</v>
      </c>
      <c r="E29" s="31">
        <f ca="1"/>
        <v>44385</v>
      </c>
      <c r="F29" s="31">
        <f ca="1"/>
        <v>44386</v>
      </c>
      <c r="G29" s="31">
        <f ca="1"/>
        <v>44387</v>
      </c>
      <c r="H29" s="31">
        <f ca="1"/>
        <v>44388</v>
      </c>
      <c r="J29" s="31">
        <f t="array" aca="1" ref="J29:P29" ca="1">Days+DATE(CalYear,MONTH(Aug_Val),1)-WEEKDAY(DATE(CalYear,MONTH(Aug_Val),1),(WeekStart="Monday")+1)+$A21*7-6</f>
        <v>44410</v>
      </c>
      <c r="K29" s="31">
        <f ca="1"/>
        <v>44411</v>
      </c>
      <c r="L29" s="31">
        <f ca="1"/>
        <v>44412</v>
      </c>
      <c r="M29" s="31">
        <f ca="1"/>
        <v>44413</v>
      </c>
      <c r="N29" s="31">
        <f ca="1"/>
        <v>44414</v>
      </c>
      <c r="O29" s="31">
        <f ca="1"/>
        <v>44415</v>
      </c>
      <c r="P29" s="31">
        <f ca="1"/>
        <v>44416</v>
      </c>
    </row>
    <row r="30" spans="1:16" ht="15.9" customHeight="1" x14ac:dyDescent="0.3">
      <c r="A30" s="32"/>
      <c r="B30" s="31">
        <f t="array" aca="1" ref="B30:H30" ca="1">Days+DATE(CalYear,MONTH(July_Val),1)-WEEKDAY(DATE(CalYear,MONTH(July_Val),1),(WeekStart="Monday")+1)+$A22*7-6</f>
        <v>44389</v>
      </c>
      <c r="C30" s="31">
        <f ca="1"/>
        <v>44390</v>
      </c>
      <c r="D30" s="31">
        <f ca="1"/>
        <v>44391</v>
      </c>
      <c r="E30" s="31">
        <f ca="1"/>
        <v>44392</v>
      </c>
      <c r="F30" s="31">
        <f ca="1"/>
        <v>44393</v>
      </c>
      <c r="G30" s="31">
        <f ca="1"/>
        <v>44394</v>
      </c>
      <c r="H30" s="31">
        <f ca="1"/>
        <v>44395</v>
      </c>
      <c r="J30" s="31">
        <f t="array" aca="1" ref="J30:P30" ca="1">Days+DATE(CalYear,MONTH(Aug_Val),1)-WEEKDAY(DATE(CalYear,MONTH(Aug_Val),1),(WeekStart="Monday")+1)+$A22*7-6</f>
        <v>44417</v>
      </c>
      <c r="K30" s="31">
        <f ca="1"/>
        <v>44418</v>
      </c>
      <c r="L30" s="31">
        <f ca="1"/>
        <v>44419</v>
      </c>
      <c r="M30" s="31">
        <f ca="1"/>
        <v>44420</v>
      </c>
      <c r="N30" s="31">
        <f ca="1"/>
        <v>44421</v>
      </c>
      <c r="O30" s="31">
        <f ca="1"/>
        <v>44422</v>
      </c>
      <c r="P30" s="31">
        <f ca="1"/>
        <v>44423</v>
      </c>
    </row>
    <row r="31" spans="1:16" ht="15.9" customHeight="1" x14ac:dyDescent="0.3">
      <c r="A31" s="32"/>
      <c r="B31" s="31">
        <f t="array" aca="1" ref="B31:H31" ca="1">Days+DATE(CalYear,MONTH(July_Val),1)-WEEKDAY(DATE(CalYear,MONTH(July_Val),1),(WeekStart="Monday")+1)+$A23*7-6</f>
        <v>44396</v>
      </c>
      <c r="C31" s="31">
        <f ca="1"/>
        <v>44397</v>
      </c>
      <c r="D31" s="31">
        <f ca="1"/>
        <v>44398</v>
      </c>
      <c r="E31" s="31">
        <f ca="1"/>
        <v>44399</v>
      </c>
      <c r="F31" s="31">
        <f ca="1"/>
        <v>44400</v>
      </c>
      <c r="G31" s="31">
        <f ca="1"/>
        <v>44401</v>
      </c>
      <c r="H31" s="31">
        <f ca="1"/>
        <v>44402</v>
      </c>
      <c r="J31" s="31">
        <f t="array" aca="1" ref="J31:P31" ca="1">Days+DATE(CalYear,MONTH(Aug_Val),1)-WEEKDAY(DATE(CalYear,MONTH(Aug_Val),1),(WeekStart="Monday")+1)+$A23*7-6</f>
        <v>44424</v>
      </c>
      <c r="K31" s="31">
        <f ca="1"/>
        <v>44425</v>
      </c>
      <c r="L31" s="31">
        <f ca="1"/>
        <v>44426</v>
      </c>
      <c r="M31" s="31">
        <f ca="1"/>
        <v>44427</v>
      </c>
      <c r="N31" s="31">
        <f ca="1"/>
        <v>44428</v>
      </c>
      <c r="O31" s="31">
        <f ca="1"/>
        <v>44429</v>
      </c>
      <c r="P31" s="31">
        <f ca="1"/>
        <v>44430</v>
      </c>
    </row>
    <row r="32" spans="1:16" ht="15.9" customHeight="1" x14ac:dyDescent="0.3">
      <c r="A32" s="32"/>
      <c r="B32" s="31">
        <f t="array" aca="1" ref="B32:H32" ca="1">Days+DATE(CalYear,MONTH(July_Val),1)-WEEKDAY(DATE(CalYear,MONTH(July_Val),1),(WeekStart="Monday")+1)+$A24*7-6</f>
        <v>44403</v>
      </c>
      <c r="C32" s="31">
        <f ca="1"/>
        <v>44404</v>
      </c>
      <c r="D32" s="31">
        <f ca="1"/>
        <v>44405</v>
      </c>
      <c r="E32" s="31">
        <f ca="1"/>
        <v>44406</v>
      </c>
      <c r="F32" s="31">
        <f ca="1"/>
        <v>44407</v>
      </c>
      <c r="G32" s="31">
        <f ca="1"/>
        <v>44408</v>
      </c>
      <c r="H32" s="31">
        <f ca="1"/>
        <v>44409</v>
      </c>
      <c r="J32" s="31">
        <f t="array" aca="1" ref="J32:P32" ca="1">Days+DATE(CalYear,MONTH(Aug_Val),1)-WEEKDAY(DATE(CalYear,MONTH(Aug_Val),1),(WeekStart="Monday")+1)+$A24*7-6</f>
        <v>44431</v>
      </c>
      <c r="K32" s="31">
        <f ca="1"/>
        <v>44432</v>
      </c>
      <c r="L32" s="31">
        <f ca="1"/>
        <v>44433</v>
      </c>
      <c r="M32" s="31">
        <f ca="1"/>
        <v>44434</v>
      </c>
      <c r="N32" s="31">
        <f ca="1"/>
        <v>44435</v>
      </c>
      <c r="O32" s="31">
        <f ca="1"/>
        <v>44436</v>
      </c>
      <c r="P32" s="31">
        <f ca="1"/>
        <v>44437</v>
      </c>
    </row>
    <row r="33" spans="1:16" ht="21.75" customHeight="1" x14ac:dyDescent="0.3">
      <c r="A33" s="32"/>
      <c r="B33" s="31">
        <f t="array" aca="1" ref="B33:H33" ca="1">Days+DATE(CalYear,MONTH(July_Val),1)-WEEKDAY(DATE(CalYear,MONTH(July_Val),1),(WeekStart="Monday")+1)+$A25*7-6</f>
        <v>44410</v>
      </c>
      <c r="C33" s="31">
        <f ca="1"/>
        <v>44411</v>
      </c>
      <c r="D33" s="31">
        <f ca="1"/>
        <v>44412</v>
      </c>
      <c r="E33" s="31">
        <f ca="1"/>
        <v>44413</v>
      </c>
      <c r="F33" s="31">
        <f ca="1"/>
        <v>44414</v>
      </c>
      <c r="G33" s="31">
        <f ca="1"/>
        <v>44415</v>
      </c>
      <c r="H33" s="31">
        <f ca="1"/>
        <v>44416</v>
      </c>
      <c r="J33" s="31">
        <f t="array" aca="1" ref="J33:P33" ca="1">Days+DATE(CalYear,MONTH(Aug_Val),1)-WEEKDAY(DATE(CalYear,MONTH(Aug_Val),1),(WeekStart="Monday")+1)+$A25*7-6</f>
        <v>44438</v>
      </c>
      <c r="K33" s="31">
        <f ca="1"/>
        <v>44439</v>
      </c>
      <c r="L33" s="31">
        <f ca="1"/>
        <v>44440</v>
      </c>
      <c r="M33" s="31">
        <f ca="1"/>
        <v>44441</v>
      </c>
      <c r="N33" s="31">
        <f ca="1"/>
        <v>44442</v>
      </c>
      <c r="O33" s="31">
        <f ca="1"/>
        <v>44443</v>
      </c>
      <c r="P33" s="31">
        <f ca="1"/>
        <v>44444</v>
      </c>
    </row>
    <row r="34" spans="1:16" ht="21.75" customHeight="1" x14ac:dyDescent="0.3">
      <c r="A34" s="32"/>
      <c r="B34" s="73" t="str">
        <f ca="1">UPPER(TEXT(Sep_Val,"MMMM"))</f>
        <v>SEPTEMBER</v>
      </c>
      <c r="C34" s="73"/>
      <c r="D34" s="73"/>
      <c r="E34" s="73"/>
      <c r="F34" s="73"/>
      <c r="G34" s="73"/>
      <c r="H34" s="73"/>
      <c r="J34" s="73" t="str">
        <f ca="1">UPPER(TEXT(Oct_Val,"MMMM"))</f>
        <v>OKTOBER</v>
      </c>
      <c r="K34" s="73"/>
      <c r="L34" s="73"/>
      <c r="M34" s="73"/>
      <c r="N34" s="73"/>
      <c r="O34" s="73"/>
      <c r="P34" s="73"/>
    </row>
    <row r="35" spans="1:16" ht="21.75" customHeight="1" x14ac:dyDescent="0.3">
      <c r="A35" s="32"/>
      <c r="B35" s="33" t="str">
        <f>CHOOSE(1+(WeekStart="Monday"),"Su","Mo","Tu","We","Th","Fr","Sa","Su")</f>
        <v>Mo</v>
      </c>
      <c r="C35" s="33" t="str">
        <f>CHOOSE(2+(WeekStart="Monday"),"Su","Mo","Tu","We","Th","Fr","Sa","Su")</f>
        <v>Tu</v>
      </c>
      <c r="D35" s="33" t="str">
        <f>CHOOSE(3+(WeekStart="Monday"),"Su","Mo","Tu","We","Th","Fr","Sa","Su")</f>
        <v>We</v>
      </c>
      <c r="E35" s="33" t="str">
        <f>CHOOSE(4+(WeekStart="Monday"),"Su","Mo","Tu","We","Th","Fr","Sa","Su")</f>
        <v>Th</v>
      </c>
      <c r="F35" s="33" t="str">
        <f>CHOOSE(5+(WeekStart="Monday"),"Su","Mo","Tu","We","Th","Fr","Sa","Su")</f>
        <v>Fr</v>
      </c>
      <c r="G35" s="33" t="str">
        <f>CHOOSE(6+(WeekStart="Monday"),"Su","Mo","Tu","We","Th","Fr","Sa","Su")</f>
        <v>Sa</v>
      </c>
      <c r="H35" s="33" t="str">
        <f>CHOOSE(7+(WeekStart="Monday"),"Su","Mo","Tu","We","Th","Fr","Sa","Su")</f>
        <v>Su</v>
      </c>
      <c r="J35" s="33" t="str">
        <f>CHOOSE(1+(WeekStart="Monday"),"Su","Mo","Tu","We","Th","Fr","Sa","Su")</f>
        <v>Mo</v>
      </c>
      <c r="K35" s="33" t="str">
        <f>CHOOSE(2+(WeekStart="Monday"),"Su","Mo","Tu","We","Th","Fr","Sa","Su")</f>
        <v>Tu</v>
      </c>
      <c r="L35" s="33" t="str">
        <f>CHOOSE(3+(WeekStart="Monday"),"Su","Mo","Tu","We","Th","Fr","Sa","Su")</f>
        <v>We</v>
      </c>
      <c r="M35" s="33" t="str">
        <f>CHOOSE(4+(WeekStart="Monday"),"Su","Mo","Tu","We","Th","Fr","Sa","Su")</f>
        <v>Th</v>
      </c>
      <c r="N35" s="33" t="str">
        <f>CHOOSE(5+(WeekStart="Monday"),"Su","Mo","Tu","We","Th","Fr","Sa","Su")</f>
        <v>Fr</v>
      </c>
      <c r="O35" s="33" t="str">
        <f>CHOOSE(6+(WeekStart="Monday"),"Su","Mo","Tu","We","Th","Fr","Sa","Su")</f>
        <v>Sa</v>
      </c>
      <c r="P35" s="33" t="str">
        <f>CHOOSE(7+(WeekStart="Monday"),"Su","Mo","Tu","We","Th","Fr","Sa","Su")</f>
        <v>Su</v>
      </c>
    </row>
    <row r="36" spans="1:16" ht="15.9" customHeight="1" x14ac:dyDescent="0.3">
      <c r="A36" s="34">
        <v>1</v>
      </c>
      <c r="B36" s="31">
        <f t="array" aca="1" ref="B36:H36" ca="1">Days+DATE(CalYear,MONTH(Sep_Val),1)-WEEKDAY(DATE(CalYear,MONTH(Sep_Val),1),(WeekStart="Monday")+1)+$A36*7-6</f>
        <v>44438</v>
      </c>
      <c r="C36" s="31">
        <f ca="1"/>
        <v>44439</v>
      </c>
      <c r="D36" s="31">
        <f ca="1"/>
        <v>44440</v>
      </c>
      <c r="E36" s="31">
        <f ca="1"/>
        <v>44441</v>
      </c>
      <c r="F36" s="31">
        <f ca="1"/>
        <v>44442</v>
      </c>
      <c r="G36" s="31">
        <f ca="1"/>
        <v>44443</v>
      </c>
      <c r="H36" s="31">
        <f ca="1"/>
        <v>44444</v>
      </c>
      <c r="J36" s="31">
        <f t="array" aca="1" ref="J36:P36" ca="1">Days+DATE(CalYear,MONTH(Oct_Val),1)-WEEKDAY(DATE(CalYear,MONTH(Oct_Val),1),(WeekStart="Monday")+1)+$A36*7-6</f>
        <v>44466</v>
      </c>
      <c r="K36" s="31">
        <f ca="1"/>
        <v>44467</v>
      </c>
      <c r="L36" s="31">
        <f ca="1"/>
        <v>44468</v>
      </c>
      <c r="M36" s="31">
        <f ca="1"/>
        <v>44469</v>
      </c>
      <c r="N36" s="31">
        <f ca="1"/>
        <v>44470</v>
      </c>
      <c r="O36" s="31">
        <f ca="1"/>
        <v>44471</v>
      </c>
      <c r="P36" s="31">
        <f ca="1"/>
        <v>44472</v>
      </c>
    </row>
    <row r="37" spans="1:16" ht="15.9" customHeight="1" x14ac:dyDescent="0.3">
      <c r="A37" s="34">
        <v>2</v>
      </c>
      <c r="B37" s="31">
        <f t="array" aca="1" ref="B37:H37" ca="1">Days+DATE(CalYear,MONTH(Sep_Val),1)-WEEKDAY(DATE(CalYear,MONTH(Sep_Val),1),(WeekStart="Monday")+1)+$A37*7-6</f>
        <v>44445</v>
      </c>
      <c r="C37" s="31">
        <f ca="1"/>
        <v>44446</v>
      </c>
      <c r="D37" s="31">
        <f ca="1"/>
        <v>44447</v>
      </c>
      <c r="E37" s="31">
        <f ca="1"/>
        <v>44448</v>
      </c>
      <c r="F37" s="31">
        <f ca="1"/>
        <v>44449</v>
      </c>
      <c r="G37" s="31">
        <f ca="1"/>
        <v>44450</v>
      </c>
      <c r="H37" s="31">
        <f ca="1"/>
        <v>44451</v>
      </c>
      <c r="J37" s="31">
        <f t="array" aca="1" ref="J37:P37" ca="1">Days+DATE(CalYear,MONTH(Oct_Val),1)-WEEKDAY(DATE(CalYear,MONTH(Oct_Val),1),(WeekStart="Monday")+1)+$A37*7-6</f>
        <v>44473</v>
      </c>
      <c r="K37" s="31">
        <f ca="1"/>
        <v>44474</v>
      </c>
      <c r="L37" s="31">
        <f ca="1"/>
        <v>44475</v>
      </c>
      <c r="M37" s="31">
        <f ca="1"/>
        <v>44476</v>
      </c>
      <c r="N37" s="31">
        <f ca="1"/>
        <v>44477</v>
      </c>
      <c r="O37" s="31">
        <f ca="1"/>
        <v>44478</v>
      </c>
      <c r="P37" s="31">
        <f ca="1"/>
        <v>44479</v>
      </c>
    </row>
    <row r="38" spans="1:16" ht="15.9" customHeight="1" x14ac:dyDescent="0.3">
      <c r="A38" s="34">
        <v>3</v>
      </c>
      <c r="B38" s="31">
        <f t="array" aca="1" ref="B38:H38" ca="1">Days+DATE(CalYear,MONTH(Sep_Val),1)-WEEKDAY(DATE(CalYear,MONTH(Sep_Val),1),(WeekStart="Monday")+1)+$A38*7-6</f>
        <v>44452</v>
      </c>
      <c r="C38" s="31">
        <f ca="1"/>
        <v>44453</v>
      </c>
      <c r="D38" s="31">
        <f ca="1"/>
        <v>44454</v>
      </c>
      <c r="E38" s="31">
        <f ca="1"/>
        <v>44455</v>
      </c>
      <c r="F38" s="31">
        <f ca="1"/>
        <v>44456</v>
      </c>
      <c r="G38" s="31">
        <f ca="1"/>
        <v>44457</v>
      </c>
      <c r="H38" s="31">
        <f ca="1"/>
        <v>44458</v>
      </c>
      <c r="J38" s="31">
        <f t="array" aca="1" ref="J38:P38" ca="1">Days+DATE(CalYear,MONTH(Oct_Val),1)-WEEKDAY(DATE(CalYear,MONTH(Oct_Val),1),(WeekStart="Monday")+1)+$A38*7-6</f>
        <v>44480</v>
      </c>
      <c r="K38" s="31">
        <f ca="1"/>
        <v>44481</v>
      </c>
      <c r="L38" s="31">
        <f ca="1"/>
        <v>44482</v>
      </c>
      <c r="M38" s="31">
        <f ca="1"/>
        <v>44483</v>
      </c>
      <c r="N38" s="31">
        <f ca="1"/>
        <v>44484</v>
      </c>
      <c r="O38" s="31">
        <f ca="1"/>
        <v>44485</v>
      </c>
      <c r="P38" s="31">
        <f ca="1"/>
        <v>44486</v>
      </c>
    </row>
    <row r="39" spans="1:16" ht="15.9" customHeight="1" x14ac:dyDescent="0.3">
      <c r="A39" s="34">
        <v>4</v>
      </c>
      <c r="B39" s="31">
        <f t="array" aca="1" ref="B39:H39" ca="1">Days+DATE(CalYear,MONTH(Sep_Val),1)-WEEKDAY(DATE(CalYear,MONTH(Sep_Val),1),(WeekStart="Monday")+1)+$A39*7-6</f>
        <v>44459</v>
      </c>
      <c r="C39" s="31">
        <f ca="1"/>
        <v>44460</v>
      </c>
      <c r="D39" s="31">
        <f ca="1"/>
        <v>44461</v>
      </c>
      <c r="E39" s="31">
        <f ca="1"/>
        <v>44462</v>
      </c>
      <c r="F39" s="31">
        <f ca="1"/>
        <v>44463</v>
      </c>
      <c r="G39" s="31">
        <f ca="1"/>
        <v>44464</v>
      </c>
      <c r="H39" s="31">
        <f ca="1"/>
        <v>44465</v>
      </c>
      <c r="J39" s="31">
        <f t="array" aca="1" ref="J39:P39" ca="1">Days+DATE(CalYear,MONTH(Oct_Val),1)-WEEKDAY(DATE(CalYear,MONTH(Oct_Val),1),(WeekStart="Monday")+1)+$A39*7-6</f>
        <v>44487</v>
      </c>
      <c r="K39" s="31">
        <f ca="1"/>
        <v>44488</v>
      </c>
      <c r="L39" s="31">
        <f ca="1"/>
        <v>44489</v>
      </c>
      <c r="M39" s="31">
        <f ca="1"/>
        <v>44490</v>
      </c>
      <c r="N39" s="31">
        <f ca="1"/>
        <v>44491</v>
      </c>
      <c r="O39" s="31">
        <f ca="1"/>
        <v>44492</v>
      </c>
      <c r="P39" s="31">
        <f ca="1"/>
        <v>44493</v>
      </c>
    </row>
    <row r="40" spans="1:16" ht="15.9" customHeight="1" x14ac:dyDescent="0.3">
      <c r="A40" s="34">
        <v>5</v>
      </c>
      <c r="B40" s="31">
        <f t="array" aca="1" ref="B40:H40" ca="1">Days+DATE(CalYear,MONTH(Sep_Val),1)-WEEKDAY(DATE(CalYear,MONTH(Sep_Val),1),(WeekStart="Monday")+1)+$A40*7-6</f>
        <v>44466</v>
      </c>
      <c r="C40" s="31">
        <f ca="1"/>
        <v>44467</v>
      </c>
      <c r="D40" s="31">
        <f ca="1"/>
        <v>44468</v>
      </c>
      <c r="E40" s="31">
        <f ca="1"/>
        <v>44469</v>
      </c>
      <c r="F40" s="31">
        <f ca="1"/>
        <v>44470</v>
      </c>
      <c r="G40" s="31">
        <f ca="1"/>
        <v>44471</v>
      </c>
      <c r="H40" s="31">
        <f ca="1"/>
        <v>44472</v>
      </c>
      <c r="J40" s="31">
        <f t="array" aca="1" ref="J40:P40" ca="1">Days+DATE(CalYear,MONTH(Oct_Val),1)-WEEKDAY(DATE(CalYear,MONTH(Oct_Val),1),(WeekStart="Monday")+1)+$A40*7-6</f>
        <v>44494</v>
      </c>
      <c r="K40" s="31">
        <f ca="1"/>
        <v>44495</v>
      </c>
      <c r="L40" s="31">
        <f ca="1"/>
        <v>44496</v>
      </c>
      <c r="M40" s="31">
        <f ca="1"/>
        <v>44497</v>
      </c>
      <c r="N40" s="31">
        <f ca="1"/>
        <v>44498</v>
      </c>
      <c r="O40" s="31">
        <f ca="1"/>
        <v>44499</v>
      </c>
      <c r="P40" s="31">
        <f ca="1"/>
        <v>44500</v>
      </c>
    </row>
    <row r="41" spans="1:16" ht="21.75" customHeight="1" x14ac:dyDescent="0.3">
      <c r="A41" s="34">
        <v>6</v>
      </c>
      <c r="B41" s="31">
        <f t="array" aca="1" ref="B41:H41" ca="1">Days+DATE(CalYear,MONTH(Sep_Val),1)-WEEKDAY(DATE(CalYear,MONTH(Sep_Val),1),(WeekStart="Monday")+1)+$A41*7-6</f>
        <v>44473</v>
      </c>
      <c r="C41" s="31">
        <f ca="1"/>
        <v>44474</v>
      </c>
      <c r="D41" s="31">
        <f ca="1"/>
        <v>44475</v>
      </c>
      <c r="E41" s="31">
        <f ca="1"/>
        <v>44476</v>
      </c>
      <c r="F41" s="31">
        <f ca="1"/>
        <v>44477</v>
      </c>
      <c r="G41" s="31">
        <f ca="1"/>
        <v>44478</v>
      </c>
      <c r="H41" s="31">
        <f ca="1"/>
        <v>44479</v>
      </c>
      <c r="J41" s="31">
        <f t="array" aca="1" ref="J41:P41" ca="1">Days+DATE(CalYear,MONTH(Oct_Val),1)-WEEKDAY(DATE(CalYear,MONTH(Oct_Val),1),(WeekStart="Monday")+1)+$A41*7-6</f>
        <v>44501</v>
      </c>
      <c r="K41" s="31">
        <f ca="1"/>
        <v>44502</v>
      </c>
      <c r="L41" s="31">
        <f ca="1"/>
        <v>44503</v>
      </c>
      <c r="M41" s="31">
        <f ca="1"/>
        <v>44504</v>
      </c>
      <c r="N41" s="31">
        <f ca="1"/>
        <v>44505</v>
      </c>
      <c r="O41" s="31">
        <f ca="1"/>
        <v>44506</v>
      </c>
      <c r="P41" s="31">
        <f ca="1"/>
        <v>44507</v>
      </c>
    </row>
    <row r="42" spans="1:16" ht="21.75" customHeight="1" x14ac:dyDescent="0.3">
      <c r="A42" s="32"/>
      <c r="B42" s="73" t="str">
        <f ca="1">UPPER(TEXT(Nov_Val,"MMMM"))</f>
        <v>NOVEMBER</v>
      </c>
      <c r="C42" s="73"/>
      <c r="D42" s="73"/>
      <c r="E42" s="73"/>
      <c r="F42" s="73"/>
      <c r="G42" s="73"/>
      <c r="H42" s="73"/>
      <c r="J42" s="73" t="str">
        <f ca="1">UPPER(TEXT(Dec_Val,"MMMM"))</f>
        <v>DEZEMBER</v>
      </c>
      <c r="K42" s="73"/>
      <c r="L42" s="73"/>
      <c r="M42" s="73"/>
      <c r="N42" s="73"/>
      <c r="O42" s="73"/>
      <c r="P42" s="73"/>
    </row>
    <row r="43" spans="1:16" ht="21.75" customHeight="1" x14ac:dyDescent="0.3">
      <c r="A43" s="32"/>
      <c r="B43" s="33" t="str">
        <f>CHOOSE(1+(WeekStart="Monday"),"Su","Mo","Tu","We","Th","Fr","Sa","Su")</f>
        <v>Mo</v>
      </c>
      <c r="C43" s="33" t="str">
        <f>CHOOSE(2+(WeekStart="Monday"),"Su","Mo","Tu","We","Th","Fr","Sa","Su")</f>
        <v>Tu</v>
      </c>
      <c r="D43" s="33" t="str">
        <f>CHOOSE(3+(WeekStart="Monday"),"Su","Mo","Tu","We","Th","Fr","Sa","Su")</f>
        <v>We</v>
      </c>
      <c r="E43" s="33" t="str">
        <f>CHOOSE(4+(WeekStart="Monday"),"Su","Mo","Tu","We","Th","Fr","Sa","Su")</f>
        <v>Th</v>
      </c>
      <c r="F43" s="33" t="str">
        <f>CHOOSE(5+(WeekStart="Monday"),"Su","Mo","Tu","We","Th","Fr","Sa","Su")</f>
        <v>Fr</v>
      </c>
      <c r="G43" s="33" t="str">
        <f>CHOOSE(6+(WeekStart="Monday"),"Su","Mo","Tu","We","Th","Fr","Sa","Su")</f>
        <v>Sa</v>
      </c>
      <c r="H43" s="33" t="str">
        <f>CHOOSE(7+(WeekStart="Monday"),"Su","Mo","Tu","We","Th","Fr","Sa","Su")</f>
        <v>Su</v>
      </c>
      <c r="J43" s="33" t="str">
        <f>CHOOSE(1+(WeekStart="Monday"),"Su","Mo","Tu","We","Th","Fr","Sa","Su")</f>
        <v>Mo</v>
      </c>
      <c r="K43" s="33" t="str">
        <f>CHOOSE(2+(WeekStart="Monday"),"Su","Mo","Tu","We","Th","Fr","Sa","Su")</f>
        <v>Tu</v>
      </c>
      <c r="L43" s="33" t="str">
        <f>CHOOSE(3+(WeekStart="Monday"),"Su","Mo","Tu","We","Th","Fr","Sa","Su")</f>
        <v>We</v>
      </c>
      <c r="M43" s="33" t="str">
        <f>CHOOSE(4+(WeekStart="Monday"),"Su","Mo","Tu","We","Th","Fr","Sa","Su")</f>
        <v>Th</v>
      </c>
      <c r="N43" s="33" t="str">
        <f>CHOOSE(5+(WeekStart="Monday"),"Su","Mo","Tu","We","Th","Fr","Sa","Su")</f>
        <v>Fr</v>
      </c>
      <c r="O43" s="33" t="str">
        <f>CHOOSE(6+(WeekStart="Monday"),"Su","Mo","Tu","We","Th","Fr","Sa","Su")</f>
        <v>Sa</v>
      </c>
      <c r="P43" s="33" t="str">
        <f>CHOOSE(7+(WeekStart="Monday"),"Su","Mo","Tu","We","Th","Fr","Sa","Su")</f>
        <v>Su</v>
      </c>
    </row>
    <row r="44" spans="1:16" ht="15.9" customHeight="1" x14ac:dyDescent="0.3">
      <c r="A44" s="32"/>
      <c r="B44" s="31">
        <f t="array" aca="1" ref="B44:H44" ca="1">Days+DATE(CalYear,MONTH(Nov_Val),1)-WEEKDAY(DATE(CalYear,MONTH(Nov_Val),1),(WeekStart="Monday")+1)+$A36*7-6</f>
        <v>44501</v>
      </c>
      <c r="C44" s="31">
        <f ca="1"/>
        <v>44502</v>
      </c>
      <c r="D44" s="31">
        <f ca="1"/>
        <v>44503</v>
      </c>
      <c r="E44" s="31">
        <f ca="1"/>
        <v>44504</v>
      </c>
      <c r="F44" s="31">
        <f ca="1"/>
        <v>44505</v>
      </c>
      <c r="G44" s="31">
        <f ca="1"/>
        <v>44506</v>
      </c>
      <c r="H44" s="31">
        <f ca="1"/>
        <v>44507</v>
      </c>
      <c r="J44" s="31">
        <f t="array" aca="1" ref="J44:P44" ca="1">Days+DATE(CalYear,MONTH(Dec_Val),1)-WEEKDAY(DATE(CalYear,MONTH(Dec_Val),1),(WeekStart="Monday")+1)+$A36*7-6</f>
        <v>44529</v>
      </c>
      <c r="K44" s="31">
        <f ca="1"/>
        <v>44530</v>
      </c>
      <c r="L44" s="31">
        <f ca="1"/>
        <v>44531</v>
      </c>
      <c r="M44" s="31">
        <f ca="1"/>
        <v>44532</v>
      </c>
      <c r="N44" s="31">
        <f ca="1"/>
        <v>44533</v>
      </c>
      <c r="O44" s="31">
        <f ca="1"/>
        <v>44534</v>
      </c>
      <c r="P44" s="31">
        <f ca="1"/>
        <v>44535</v>
      </c>
    </row>
    <row r="45" spans="1:16" ht="15.9" customHeight="1" x14ac:dyDescent="0.3">
      <c r="A45" s="32"/>
      <c r="B45" s="31">
        <f t="array" aca="1" ref="B45:H45" ca="1">Days+DATE(CalYear,MONTH(Nov_Val),1)-WEEKDAY(DATE(CalYear,MONTH(Nov_Val),1),(WeekStart="Monday")+1)+$A37*7-6</f>
        <v>44508</v>
      </c>
      <c r="C45" s="31">
        <f ca="1"/>
        <v>44509</v>
      </c>
      <c r="D45" s="31">
        <f ca="1"/>
        <v>44510</v>
      </c>
      <c r="E45" s="31">
        <f ca="1"/>
        <v>44511</v>
      </c>
      <c r="F45" s="31">
        <f ca="1"/>
        <v>44512</v>
      </c>
      <c r="G45" s="31">
        <f ca="1"/>
        <v>44513</v>
      </c>
      <c r="H45" s="31">
        <f ca="1"/>
        <v>44514</v>
      </c>
      <c r="J45" s="31">
        <f t="array" aca="1" ref="J45:P45" ca="1">Days+DATE(CalYear,MONTH(Dec_Val),1)-WEEKDAY(DATE(CalYear,MONTH(Dec_Val),1),(WeekStart="Monday")+1)+$A37*7-6</f>
        <v>44536</v>
      </c>
      <c r="K45" s="31">
        <f ca="1"/>
        <v>44537</v>
      </c>
      <c r="L45" s="31">
        <f ca="1"/>
        <v>44538</v>
      </c>
      <c r="M45" s="31">
        <f ca="1"/>
        <v>44539</v>
      </c>
      <c r="N45" s="31">
        <f ca="1"/>
        <v>44540</v>
      </c>
      <c r="O45" s="31">
        <f ca="1"/>
        <v>44541</v>
      </c>
      <c r="P45" s="31">
        <f ca="1"/>
        <v>44542</v>
      </c>
    </row>
    <row r="46" spans="1:16" ht="15.9" customHeight="1" x14ac:dyDescent="0.3">
      <c r="A46" s="32"/>
      <c r="B46" s="31">
        <f t="array" aca="1" ref="B46:H46" ca="1">Days+DATE(CalYear,MONTH(Nov_Val),1)-WEEKDAY(DATE(CalYear,MONTH(Nov_Val),1),(WeekStart="Monday")+1)+$A38*7-6</f>
        <v>44515</v>
      </c>
      <c r="C46" s="31">
        <f ca="1"/>
        <v>44516</v>
      </c>
      <c r="D46" s="31">
        <f ca="1"/>
        <v>44517</v>
      </c>
      <c r="E46" s="31">
        <f ca="1"/>
        <v>44518</v>
      </c>
      <c r="F46" s="31">
        <f ca="1"/>
        <v>44519</v>
      </c>
      <c r="G46" s="31">
        <f ca="1"/>
        <v>44520</v>
      </c>
      <c r="H46" s="31">
        <f ca="1"/>
        <v>44521</v>
      </c>
      <c r="J46" s="31">
        <f t="array" aca="1" ref="J46:P46" ca="1">Days+DATE(CalYear,MONTH(Dec_Val),1)-WEEKDAY(DATE(CalYear,MONTH(Dec_Val),1),(WeekStart="Monday")+1)+$A38*7-6</f>
        <v>44543</v>
      </c>
      <c r="K46" s="31">
        <f ca="1"/>
        <v>44544</v>
      </c>
      <c r="L46" s="31">
        <f ca="1"/>
        <v>44545</v>
      </c>
      <c r="M46" s="31">
        <f ca="1"/>
        <v>44546</v>
      </c>
      <c r="N46" s="31">
        <f ca="1"/>
        <v>44547</v>
      </c>
      <c r="O46" s="31">
        <f ca="1"/>
        <v>44548</v>
      </c>
      <c r="P46" s="31">
        <f ca="1"/>
        <v>44549</v>
      </c>
    </row>
    <row r="47" spans="1:16" ht="15.9" customHeight="1" x14ac:dyDescent="0.3">
      <c r="A47" s="32"/>
      <c r="B47" s="31">
        <f t="array" aca="1" ref="B47:H47" ca="1">Days+DATE(CalYear,MONTH(Nov_Val),1)-WEEKDAY(DATE(CalYear,MONTH(Nov_Val),1),(WeekStart="Monday")+1)+$A39*7-6</f>
        <v>44522</v>
      </c>
      <c r="C47" s="31">
        <f ca="1"/>
        <v>44523</v>
      </c>
      <c r="D47" s="31">
        <f ca="1"/>
        <v>44524</v>
      </c>
      <c r="E47" s="31">
        <f ca="1"/>
        <v>44525</v>
      </c>
      <c r="F47" s="31">
        <f ca="1"/>
        <v>44526</v>
      </c>
      <c r="G47" s="31">
        <f ca="1"/>
        <v>44527</v>
      </c>
      <c r="H47" s="31">
        <f ca="1"/>
        <v>44528</v>
      </c>
      <c r="J47" s="31">
        <f t="array" aca="1" ref="J47:P47" ca="1">Days+DATE(CalYear,MONTH(Dec_Val),1)-WEEKDAY(DATE(CalYear,MONTH(Dec_Val),1),(WeekStart="Monday")+1)+$A39*7-6</f>
        <v>44550</v>
      </c>
      <c r="K47" s="31">
        <f ca="1"/>
        <v>44551</v>
      </c>
      <c r="L47" s="31">
        <f ca="1"/>
        <v>44552</v>
      </c>
      <c r="M47" s="31">
        <f ca="1"/>
        <v>44553</v>
      </c>
      <c r="N47" s="31">
        <f ca="1"/>
        <v>44554</v>
      </c>
      <c r="O47" s="31">
        <f ca="1"/>
        <v>44555</v>
      </c>
      <c r="P47" s="31">
        <f ca="1"/>
        <v>44556</v>
      </c>
    </row>
    <row r="48" spans="1:16" ht="15.9" customHeight="1" x14ac:dyDescent="0.3">
      <c r="A48" s="32"/>
      <c r="B48" s="31">
        <f t="array" aca="1" ref="B48:H48" ca="1">Days+DATE(CalYear,MONTH(Nov_Val),1)-WEEKDAY(DATE(CalYear,MONTH(Nov_Val),1),(WeekStart="Monday")+1)+$A40*7-6</f>
        <v>44529</v>
      </c>
      <c r="C48" s="31">
        <f ca="1"/>
        <v>44530</v>
      </c>
      <c r="D48" s="31">
        <f ca="1"/>
        <v>44531</v>
      </c>
      <c r="E48" s="31">
        <f ca="1"/>
        <v>44532</v>
      </c>
      <c r="F48" s="31">
        <f ca="1"/>
        <v>44533</v>
      </c>
      <c r="G48" s="31">
        <f ca="1"/>
        <v>44534</v>
      </c>
      <c r="H48" s="31">
        <f ca="1"/>
        <v>44535</v>
      </c>
      <c r="J48" s="31">
        <f t="array" aca="1" ref="J48:P48" ca="1">Days+DATE(CalYear,MONTH(Dec_Val),1)-WEEKDAY(DATE(CalYear,MONTH(Dec_Val),1),(WeekStart="Monday")+1)+$A40*7-6</f>
        <v>44557</v>
      </c>
      <c r="K48" s="31">
        <f ca="1"/>
        <v>44558</v>
      </c>
      <c r="L48" s="31">
        <f ca="1"/>
        <v>44559</v>
      </c>
      <c r="M48" s="31">
        <f ca="1"/>
        <v>44560</v>
      </c>
      <c r="N48" s="31">
        <f ca="1"/>
        <v>44561</v>
      </c>
      <c r="O48" s="31">
        <f ca="1"/>
        <v>44562</v>
      </c>
      <c r="P48" s="31">
        <f ca="1"/>
        <v>44563</v>
      </c>
    </row>
    <row r="49" spans="1:16" ht="21.75" customHeight="1" x14ac:dyDescent="0.3">
      <c r="A49" s="32"/>
      <c r="B49" s="31">
        <f t="array" aca="1" ref="B49:H49" ca="1">Days+DATE(CalYear,MONTH(Nov_Val),1)-WEEKDAY(DATE(CalYear,MONTH(Nov_Val),1),(WeekStart="Monday")+1)+$A41*7-6</f>
        <v>44536</v>
      </c>
      <c r="C49" s="31">
        <f ca="1"/>
        <v>44537</v>
      </c>
      <c r="D49" s="31">
        <f ca="1"/>
        <v>44538</v>
      </c>
      <c r="E49" s="31">
        <f ca="1"/>
        <v>44539</v>
      </c>
      <c r="F49" s="31">
        <f ca="1"/>
        <v>44540</v>
      </c>
      <c r="G49" s="31">
        <f ca="1"/>
        <v>44541</v>
      </c>
      <c r="H49" s="31">
        <f ca="1"/>
        <v>44542</v>
      </c>
      <c r="J49" s="31">
        <f t="array" aca="1" ref="J49:P49" ca="1">Days+DATE(CalYear,MONTH(Dec_Val),1)-WEEKDAY(DATE(CalYear,MONTH(Dec_Val),1),(WeekStart="Monday")+1)+$A41*7-6</f>
        <v>44564</v>
      </c>
      <c r="K49" s="31">
        <f ca="1"/>
        <v>44565</v>
      </c>
      <c r="L49" s="31">
        <f ca="1"/>
        <v>44566</v>
      </c>
      <c r="M49" s="31">
        <f ca="1"/>
        <v>44567</v>
      </c>
      <c r="N49" s="31">
        <f ca="1"/>
        <v>44568</v>
      </c>
      <c r="O49" s="31">
        <f ca="1"/>
        <v>44569</v>
      </c>
      <c r="P49" s="31">
        <f ca="1"/>
        <v>44570</v>
      </c>
    </row>
  </sheetData>
  <mergeCells count="14">
    <mergeCell ref="J2:P2"/>
    <mergeCell ref="B10:H10"/>
    <mergeCell ref="J10:P10"/>
    <mergeCell ref="S1:V1"/>
    <mergeCell ref="B1:P1"/>
    <mergeCell ref="B2:H2"/>
    <mergeCell ref="B34:H34"/>
    <mergeCell ref="J34:P34"/>
    <mergeCell ref="B42:H42"/>
    <mergeCell ref="J42:P42"/>
    <mergeCell ref="B18:H18"/>
    <mergeCell ref="J18:P18"/>
    <mergeCell ref="B26:H26"/>
    <mergeCell ref="J26:P26"/>
  </mergeCells>
  <conditionalFormatting sqref="B4:H4">
    <cfRule type="expression" dxfId="27" priority="24">
      <formula>DAY(B4)&gt;7</formula>
    </cfRule>
  </conditionalFormatting>
  <conditionalFormatting sqref="J4:P4">
    <cfRule type="expression" dxfId="26" priority="23">
      <formula>DAY(J4)&gt;7</formula>
    </cfRule>
  </conditionalFormatting>
  <conditionalFormatting sqref="B12:H12">
    <cfRule type="expression" dxfId="25" priority="22">
      <formula>DAY(B12)&gt;7</formula>
    </cfRule>
  </conditionalFormatting>
  <conditionalFormatting sqref="J12:P12">
    <cfRule type="expression" dxfId="24" priority="21">
      <formula>DAY(J12)&gt;7</formula>
    </cfRule>
  </conditionalFormatting>
  <conditionalFormatting sqref="J28:P28">
    <cfRule type="expression" dxfId="23" priority="20">
      <formula>DAY(J28)&gt;7</formula>
    </cfRule>
  </conditionalFormatting>
  <conditionalFormatting sqref="B28:H28">
    <cfRule type="expression" dxfId="22" priority="19">
      <formula>DAY(B28)&gt;7</formula>
    </cfRule>
  </conditionalFormatting>
  <conditionalFormatting sqref="J20:P20">
    <cfRule type="expression" dxfId="21" priority="18">
      <formula>DAY(J20)&gt;7</formula>
    </cfRule>
  </conditionalFormatting>
  <conditionalFormatting sqref="B20:H20">
    <cfRule type="expression" dxfId="20" priority="17">
      <formula>DAY(B20)&gt;7</formula>
    </cfRule>
  </conditionalFormatting>
  <conditionalFormatting sqref="B36:H36">
    <cfRule type="expression" dxfId="19" priority="16">
      <formula>DAY(B36)&gt;7</formula>
    </cfRule>
  </conditionalFormatting>
  <conditionalFormatting sqref="J36:P36">
    <cfRule type="expression" dxfId="18" priority="15">
      <formula>DAY(J36)&gt;7</formula>
    </cfRule>
  </conditionalFormatting>
  <conditionalFormatting sqref="B44:H44">
    <cfRule type="expression" dxfId="17" priority="14">
      <formula>DAY(B44)&gt;7</formula>
    </cfRule>
  </conditionalFormatting>
  <conditionalFormatting sqref="J44:P44">
    <cfRule type="expression" dxfId="16" priority="13">
      <formula>DAY(J44)&gt;7</formula>
    </cfRule>
  </conditionalFormatting>
  <conditionalFormatting sqref="B8:H9">
    <cfRule type="expression" dxfId="15" priority="12">
      <formula>DAY(B8)&lt;15</formula>
    </cfRule>
  </conditionalFormatting>
  <conditionalFormatting sqref="J8:P9">
    <cfRule type="expression" dxfId="14" priority="11">
      <formula>DAY(J8)&lt;15</formula>
    </cfRule>
  </conditionalFormatting>
  <conditionalFormatting sqref="B16:H17">
    <cfRule type="expression" dxfId="13" priority="10">
      <formula>DAY(B16)&lt;15</formula>
    </cfRule>
  </conditionalFormatting>
  <conditionalFormatting sqref="J16:P17">
    <cfRule type="expression" dxfId="12" priority="9">
      <formula>DAY(J16)&lt;15</formula>
    </cfRule>
  </conditionalFormatting>
  <conditionalFormatting sqref="J32:P33">
    <cfRule type="expression" dxfId="11" priority="8">
      <formula>DAY(J32)&lt;15</formula>
    </cfRule>
  </conditionalFormatting>
  <conditionalFormatting sqref="B32:H33">
    <cfRule type="expression" dxfId="10" priority="7">
      <formula>DAY(B32)&lt;15</formula>
    </cfRule>
  </conditionalFormatting>
  <conditionalFormatting sqref="J24:P25">
    <cfRule type="expression" dxfId="9" priority="6">
      <formula>DAY(J24)&lt;15</formula>
    </cfRule>
  </conditionalFormatting>
  <conditionalFormatting sqref="B24:H25">
    <cfRule type="expression" dxfId="8" priority="5">
      <formula>DAY(B24)&lt;15</formula>
    </cfRule>
  </conditionalFormatting>
  <conditionalFormatting sqref="B40:H41">
    <cfRule type="expression" dxfId="7" priority="4">
      <formula>DAY(B40)&lt;15</formula>
    </cfRule>
  </conditionalFormatting>
  <conditionalFormatting sqref="J40:P41">
    <cfRule type="expression" dxfId="6" priority="3">
      <formula>DAY(J40)&lt;15</formula>
    </cfRule>
  </conditionalFormatting>
  <conditionalFormatting sqref="B48:H49">
    <cfRule type="expression" dxfId="5" priority="2">
      <formula>DAY(B48)&lt;15</formula>
    </cfRule>
  </conditionalFormatting>
  <conditionalFormatting sqref="J48:P49">
    <cfRule type="expression" dxfId="4" priority="1">
      <formula>DAY(J48)&lt;15</formula>
    </cfRule>
  </conditionalFormatting>
  <dataValidations count="38">
    <dataValidation allowBlank="1" showInputMessage="1" showErrorMessage="1" prompt="Calendar days for this month are automatically updated in cells J44 through P49. If this cell doesn’t contain number 1, then it is a previous month's day" sqref="J44" xr:uid="{00000000-0002-0000-0000-000025000000}"/>
    <dataValidation allowBlank="1" showInputMessage="1" showErrorMessage="1" prompt="Calendar days for this month are automatically updated in cells B44 through H49. If this cell doesn’t contain number 1, then it is a previous month's day" sqref="B44" xr:uid="{00000000-0002-0000-0000-000024000000}"/>
    <dataValidation allowBlank="1" showInputMessage="1" showErrorMessage="1" prompt="Calendar days for this month are automatically updated in cells J12 through P17. If this cell doesn’t contain number 1, then it is a previous month's day" sqref="J12" xr:uid="{00000000-0002-0000-0000-000023000000}"/>
    <dataValidation allowBlank="1" showInputMessage="1" showErrorMessage="1" prompt="Calendar days for this month are automatically updated in cells J20 through P25. If this cell doesn’t contain number 1, then it is a previous month's day" sqref="J20" xr:uid="{00000000-0002-0000-0000-000022000000}"/>
    <dataValidation allowBlank="1" showInputMessage="1" showErrorMessage="1" prompt="Calendar days for this month are automatically updated in cells J28 through P33. If this cell doesn’t contain number 1, then it is a previous month's day" sqref="J28" xr:uid="{00000000-0002-0000-0000-000021000000}"/>
    <dataValidation allowBlank="1" showInputMessage="1" showErrorMessage="1" prompt="Calendar days for this month are automatically updated in cells J36 through P41. If this cell doesn’t contain number 1, then it is a previous month's day" sqref="J36" xr:uid="{00000000-0002-0000-0000-000020000000}"/>
    <dataValidation allowBlank="1" showInputMessage="1" showErrorMessage="1" prompt="Calendar days for this month are automatically updated in cells B36 through H41. If this cell doesn’t contain number 1, then it is a previous month's day" sqref="B36" xr:uid="{00000000-0002-0000-0000-00001F000000}"/>
    <dataValidation allowBlank="1" showInputMessage="1" showErrorMessage="1" prompt="Calendar days for this month are automatically updated in cells B28 through H33. If this cell doesn’t contain number 1, then it is a previous month's day" sqref="B28" xr:uid="{00000000-0002-0000-0000-00001E000000}"/>
    <dataValidation allowBlank="1" showInputMessage="1" showErrorMessage="1" prompt="Calendar days for this month are automatically updated in cells B20 through H25. If this cell doesn’t contain number 1, then it is a previous month's day" sqref="B20" xr:uid="{00000000-0002-0000-0000-00001D000000}"/>
    <dataValidation allowBlank="1" showInputMessage="1" showErrorMessage="1" prompt="Calendar days for this month are automatically updated in cells B12 through H17. If this cell doesn’t contain number 1, then it is a previous month's day" sqref="B12" xr:uid="{00000000-0002-0000-0000-00001C000000}"/>
    <dataValidation allowBlank="1" showInputMessage="1" showErrorMessage="1" prompt="Calendar days for this month are automatically updated in cells J4 through P9. If this cell doesn’t contain number 1, then it is a previous month's day" sqref="J4" xr:uid="{00000000-0002-0000-0000-00001B000000}"/>
    <dataValidation allowBlank="1" showInputMessage="1" showErrorMessage="1" prompt="Calendar days for this month are automatically updated in cells B4 through H9. If this cell doesn’t contain number 1, then it is a previous month's day" sqref="B4" xr:uid="{00000000-0002-0000-0000-00001A000000}"/>
    <dataValidation allowBlank="1" showInputMessage="1" showErrorMessage="1" prompt="Weekdays for the month in cell above are in cells J43 through P43" sqref="J43" xr:uid="{00000000-0002-0000-0000-000019000000}"/>
    <dataValidation allowBlank="1" showInputMessage="1" showErrorMessage="1" prompt="Weekdays for the month in cell above are in cells J35 through P35" sqref="J35" xr:uid="{00000000-0002-0000-0000-000018000000}"/>
    <dataValidation allowBlank="1" showInputMessage="1" showErrorMessage="1" prompt="Weekdays for the month in cell above are in cells J27 through P27" sqref="J27" xr:uid="{00000000-0002-0000-0000-000017000000}"/>
    <dataValidation allowBlank="1" showInputMessage="1" showErrorMessage="1" prompt="Weekdays for the month in cell above are in cells J19 through P19" sqref="J19" xr:uid="{00000000-0002-0000-0000-000016000000}"/>
    <dataValidation allowBlank="1" showInputMessage="1" showErrorMessage="1" prompt="Weekdays for the month in cell above are in cells J11 through P11" sqref="J11" xr:uid="{00000000-0002-0000-0000-000015000000}"/>
    <dataValidation allowBlank="1" showInputMessage="1" showErrorMessage="1" prompt="Weekdays for the month in cell above are in cells J3 through P3" sqref="J3" xr:uid="{00000000-0002-0000-0000-000014000000}"/>
    <dataValidation allowBlank="1" showInputMessage="1" showErrorMessage="1" prompt="Weekdays for the month in cell above are in cells B43 through H43" sqref="B43" xr:uid="{00000000-0002-0000-0000-000013000000}"/>
    <dataValidation allowBlank="1" showInputMessage="1" showErrorMessage="1" prompt="Weekdays for the month in cell above are in cells B35 through H35" sqref="B35" xr:uid="{00000000-0002-0000-0000-000012000000}"/>
    <dataValidation allowBlank="1" showInputMessage="1" showErrorMessage="1" prompt="Weekdays for the month in cell above are in cells B27 through H27" sqref="B27" xr:uid="{00000000-0002-0000-0000-000011000000}"/>
    <dataValidation allowBlank="1" showInputMessage="1" showErrorMessage="1" prompt="Weekdays for the month in cell above are in cells B19 through H19" sqref="B19" xr:uid="{00000000-0002-0000-0000-000010000000}"/>
    <dataValidation allowBlank="1" showInputMessage="1" showErrorMessage="1" prompt="Weekdays for the month in cell above are in cells B11 through H11" sqref="B11" xr:uid="{00000000-0002-0000-0000-00000F000000}"/>
    <dataValidation allowBlank="1" showInputMessage="1" showErrorMessage="1" prompt="Weekdays for the month in cell above are in cells B3 through H3" sqref="B3" xr:uid="{00000000-0002-0000-0000-00000E000000}"/>
    <dataValidation allowBlank="1" showInputMessage="1" showErrorMessage="1" prompt="Calendar Month is in this cell. Calendar for this month is automatically updated in cells B43 through H49 and contains dates from previous, current, and next months" sqref="B42:H42" xr:uid="{00000000-0002-0000-0000-00000D000000}"/>
    <dataValidation allowBlank="1" showInputMessage="1" showErrorMessage="1" prompt="Calendar Month is in this cell. Calendar for this month is automatically updated in cells J35 through P41 and contains dates from previous, current, and next months" sqref="J34:P34" xr:uid="{00000000-0002-0000-0000-00000C000000}"/>
    <dataValidation allowBlank="1" showInputMessage="1" showErrorMessage="1" prompt="Calendar Month is in this cell. Calendar for this month is automatically updated in cells B35 through H41 and contains dates from previous, current, and next months" sqref="B34:H34" xr:uid="{00000000-0002-0000-0000-00000B000000}"/>
    <dataValidation allowBlank="1" showInputMessage="1" showErrorMessage="1" prompt="Calendar Month is in this cell. Calendar for this month is automatically updated in cells J27 through P33 and contains dates from previous, current, and next months" sqref="J26:P26" xr:uid="{00000000-0002-0000-0000-00000A000000}"/>
    <dataValidation allowBlank="1" showInputMessage="1" showErrorMessage="1" prompt="Calendar Month is in this cell. Calendar for this month is automatically updated in cells B27 through H33 and contains dates from previous, current, and next months" sqref="B26:H26" xr:uid="{00000000-0002-0000-0000-000009000000}"/>
    <dataValidation allowBlank="1" showInputMessage="1" showErrorMessage="1" prompt="Calendar Month is in this cell. Calendar for this month is automatically updated in cells J19 through P25 and contains dates from previous, current, and next months" sqref="J18:P18" xr:uid="{00000000-0002-0000-0000-000008000000}"/>
    <dataValidation allowBlank="1" showInputMessage="1" showErrorMessage="1" prompt="Calendar Month is in this cell. Calendar for this month is automatically updated in cells B19 through H25 and contains dates from previous, current, and next months" sqref="B18:H18" xr:uid="{00000000-0002-0000-0000-000007000000}"/>
    <dataValidation allowBlank="1" showInputMessage="1" showErrorMessage="1" prompt="Calendar Month is in this cell. Calendar for this month is automatically updated in cells J11 through P17 and contains dates from previous, current, and next months" sqref="J10:P10" xr:uid="{00000000-0002-0000-0000-000006000000}"/>
    <dataValidation allowBlank="1" showInputMessage="1" showErrorMessage="1" prompt="Calendar Month is in this cell. Calendar for this month is automatically updated in cells B3 through H9 and contains dates from previous, current, and next months" sqref="B2:H2" xr:uid="{00000000-0002-0000-0000-000005000000}"/>
    <dataValidation allowBlank="1" showInputMessage="1" showErrorMessage="1" prompt="Calendar Month is in this cell. Calendar for this month is automatically updated in cells B11 through H17 and contains dates from previous, current, and next months" sqref="B10:H10" xr:uid="{00000000-0002-0000-0000-000004000000}"/>
    <dataValidation allowBlank="1" showInputMessage="1" showErrorMessage="1" prompt="Calendar Month is in this cell. Calendar for this month is automatically updated in cells J3 through P9 and contains dates from previous, current, and next months" sqref="J2:P2" xr:uid="{00000000-0002-0000-0000-000003000000}"/>
    <dataValidation allowBlank="1" showInputMessage="1" showErrorMessage="1" prompt="Calendar Month is in this cell. Calendar for this month is automatically updated in cells J43 through P49 and contains dates from previous, current, and next months" sqref="J42:P42" xr:uid="{00000000-0002-0000-0000-000002000000}"/>
    <dataValidation allowBlank="1" showInputMessage="1" showErrorMessage="1" prompt="Enter Year in this cell to automatically update calendar for each month in cells B2 through P49" sqref="B1:P1" xr:uid="{00000000-0002-0000-0000-000001000000}"/>
    <dataValidation allowBlank="1" showInputMessage="1" showErrorMessage="1" prompt="Create a calendar for any year using this Any Year Calendar (Mon-Sun) worksheet. Enter Year in cell at right to automatically update calendar for each month" sqref="A1" xr:uid="{00000000-0002-0000-0000-000000000000}"/>
  </dataValidations>
  <printOptions horizontalCentered="1"/>
  <pageMargins left="0.4" right="0.4" top="0.4" bottom="0.6" header="0.3" footer="0.3"/>
  <pageSetup scale="79"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tn_Import">
                <anchor moveWithCells="1" sizeWithCells="1">
                  <from>
                    <xdr:col>19</xdr:col>
                    <xdr:colOff>213360</xdr:colOff>
                    <xdr:row>1</xdr:row>
                    <xdr:rowOff>106680</xdr:rowOff>
                  </from>
                  <to>
                    <xdr:col>21</xdr:col>
                    <xdr:colOff>99060</xdr:colOff>
                    <xdr:row>2</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0FD1D-5B2C-4BC8-B0A2-E5ED6520B9E4}">
  <sheetPr codeName="Tabelle2"/>
  <dimension ref="A1:G34"/>
  <sheetViews>
    <sheetView tabSelected="1" zoomScaleNormal="100" workbookViewId="0">
      <pane ySplit="1" topLeftCell="A2" activePane="bottomLeft" state="frozen"/>
      <selection pane="bottomLeft" activeCell="D7" sqref="D7"/>
    </sheetView>
  </sheetViews>
  <sheetFormatPr baseColWidth="10" defaultRowHeight="14.4" x14ac:dyDescent="0.3"/>
  <cols>
    <col min="2" max="2" width="30.6640625" customWidth="1"/>
    <col min="3" max="3" width="50.6640625" style="69" customWidth="1"/>
    <col min="4" max="4" width="100.6640625" customWidth="1"/>
    <col min="5" max="5" width="7.33203125" style="17" customWidth="1"/>
    <col min="6" max="6" width="7.33203125" style="71" customWidth="1"/>
    <col min="7" max="7" width="9.33203125" style="69" customWidth="1"/>
  </cols>
  <sheetData>
    <row r="1" spans="1:7" x14ac:dyDescent="0.3">
      <c r="A1" s="1" t="s">
        <v>3</v>
      </c>
      <c r="B1" s="1" t="s">
        <v>28</v>
      </c>
      <c r="C1" s="68" t="s">
        <v>29</v>
      </c>
      <c r="D1" s="1" t="s">
        <v>0</v>
      </c>
      <c r="E1" s="72" t="s">
        <v>1</v>
      </c>
      <c r="F1" s="70" t="s">
        <v>2</v>
      </c>
      <c r="G1" s="68" t="s">
        <v>27</v>
      </c>
    </row>
    <row r="2" spans="1:7" x14ac:dyDescent="0.3">
      <c r="A2" s="67">
        <v>44263</v>
      </c>
      <c r="B2" t="s">
        <v>34</v>
      </c>
      <c r="C2" s="69" t="s">
        <v>36</v>
      </c>
      <c r="D2" t="s">
        <v>35</v>
      </c>
      <c r="E2" s="17">
        <v>0.375</v>
      </c>
      <c r="F2" s="71">
        <v>0.38541666666666669</v>
      </c>
      <c r="G2" s="69" t="s">
        <v>32</v>
      </c>
    </row>
    <row r="3" spans="1:7" x14ac:dyDescent="0.3">
      <c r="A3" s="67"/>
    </row>
    <row r="4" spans="1:7" x14ac:dyDescent="0.3">
      <c r="A4" s="67"/>
    </row>
    <row r="5" spans="1:7" x14ac:dyDescent="0.3">
      <c r="A5" s="67"/>
    </row>
    <row r="6" spans="1:7" x14ac:dyDescent="0.3">
      <c r="A6" s="67"/>
    </row>
    <row r="7" spans="1:7" x14ac:dyDescent="0.3">
      <c r="A7" s="67"/>
    </row>
    <row r="8" spans="1:7" x14ac:dyDescent="0.3">
      <c r="A8" s="67"/>
    </row>
    <row r="9" spans="1:7" x14ac:dyDescent="0.3">
      <c r="A9" s="67"/>
    </row>
    <row r="10" spans="1:7" x14ac:dyDescent="0.3">
      <c r="A10" s="67"/>
    </row>
    <row r="11" spans="1:7" x14ac:dyDescent="0.3">
      <c r="A11" s="67"/>
    </row>
    <row r="12" spans="1:7" x14ac:dyDescent="0.3">
      <c r="A12" s="67"/>
    </row>
    <row r="13" spans="1:7" x14ac:dyDescent="0.3">
      <c r="A13" s="67"/>
    </row>
    <row r="14" spans="1:7" x14ac:dyDescent="0.3">
      <c r="A14" s="67"/>
    </row>
    <row r="15" spans="1:7" x14ac:dyDescent="0.3">
      <c r="A15" s="67"/>
    </row>
    <row r="16" spans="1:7" x14ac:dyDescent="0.3">
      <c r="A16" s="67"/>
    </row>
    <row r="17" spans="1:1" x14ac:dyDescent="0.3">
      <c r="A17" s="67"/>
    </row>
    <row r="18" spans="1:1" x14ac:dyDescent="0.3">
      <c r="A18" s="67"/>
    </row>
    <row r="19" spans="1:1" x14ac:dyDescent="0.3">
      <c r="A19" s="67"/>
    </row>
    <row r="20" spans="1:1" x14ac:dyDescent="0.3">
      <c r="A20" s="67"/>
    </row>
    <row r="21" spans="1:1" x14ac:dyDescent="0.3">
      <c r="A21" s="67"/>
    </row>
    <row r="22" spans="1:1" x14ac:dyDescent="0.3">
      <c r="A22" s="67"/>
    </row>
    <row r="23" spans="1:1" x14ac:dyDescent="0.3">
      <c r="A23" s="67"/>
    </row>
    <row r="24" spans="1:1" x14ac:dyDescent="0.3">
      <c r="A24" s="67"/>
    </row>
    <row r="25" spans="1:1" x14ac:dyDescent="0.3">
      <c r="A25" s="67"/>
    </row>
    <row r="26" spans="1:1" x14ac:dyDescent="0.3">
      <c r="A26" s="67"/>
    </row>
    <row r="27" spans="1:1" x14ac:dyDescent="0.3">
      <c r="A27" s="67"/>
    </row>
    <row r="28" spans="1:1" x14ac:dyDescent="0.3">
      <c r="A28" s="67"/>
    </row>
    <row r="29" spans="1:1" x14ac:dyDescent="0.3">
      <c r="A29" s="67"/>
    </row>
    <row r="30" spans="1:1" x14ac:dyDescent="0.3">
      <c r="A30" s="67"/>
    </row>
    <row r="31" spans="1:1" x14ac:dyDescent="0.3">
      <c r="A31" s="67"/>
    </row>
    <row r="32" spans="1:1" x14ac:dyDescent="0.3">
      <c r="A32" s="67"/>
    </row>
    <row r="33" spans="1:1" x14ac:dyDescent="0.3">
      <c r="A33" s="67"/>
    </row>
    <row r="34" spans="1:1" x14ac:dyDescent="0.3">
      <c r="A34" s="67"/>
    </row>
  </sheetData>
  <sortState xmlns:xlrd2="http://schemas.microsoft.com/office/spreadsheetml/2017/richdata2" ref="A2:G34">
    <sortCondition ref="A2:A34"/>
    <sortCondition ref="E2:E34"/>
  </sortState>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EF024-B63C-4325-B73D-8CFC5B20EE6D}">
  <sheetPr codeName="Tabelle3"/>
  <dimension ref="A1:S100"/>
  <sheetViews>
    <sheetView topLeftCell="B1" workbookViewId="0">
      <pane ySplit="1" topLeftCell="A2" activePane="bottomLeft" state="frozen"/>
      <selection pane="bottomLeft" activeCell="O2" sqref="A2:XFD2"/>
    </sheetView>
  </sheetViews>
  <sheetFormatPr baseColWidth="10" defaultColWidth="11.44140625" defaultRowHeight="14.4" x14ac:dyDescent="0.3"/>
  <cols>
    <col min="1" max="1" width="13.109375" style="2" customWidth="1"/>
    <col min="2" max="2" width="11.33203125" style="2" bestFit="1" customWidth="1"/>
    <col min="3" max="3" width="10.44140625" style="45" customWidth="1"/>
    <col min="4" max="4" width="10.44140625" style="45" bestFit="1" customWidth="1"/>
    <col min="5" max="5" width="8.33203125" style="2" customWidth="1"/>
    <col min="6" max="6" width="11.88671875" style="2" customWidth="1"/>
    <col min="7" max="7" width="10" style="2" customWidth="1"/>
    <col min="8" max="8" width="12.33203125" style="2" customWidth="1"/>
    <col min="9" max="9" width="32.109375" style="2" customWidth="1"/>
    <col min="10" max="10" width="7.44140625" style="2" customWidth="1"/>
    <col min="11" max="11" width="11.6640625" style="2" customWidth="1"/>
    <col min="12" max="12" width="10.33203125" style="2" customWidth="1"/>
    <col min="13" max="13" width="4.33203125" style="2" customWidth="1"/>
    <col min="14" max="14" width="41.88671875" style="2" customWidth="1"/>
    <col min="15" max="15" width="12.6640625" style="2" bestFit="1" customWidth="1"/>
    <col min="16" max="17" width="11.44140625" style="2"/>
    <col min="18" max="18" width="30.6640625" style="2" customWidth="1"/>
    <col min="19" max="19" width="9" style="2" bestFit="1" customWidth="1"/>
    <col min="20" max="255" width="11.44140625" style="2"/>
    <col min="256" max="256" width="14.33203125" style="2" customWidth="1"/>
    <col min="257" max="257" width="9.6640625" style="2" customWidth="1"/>
    <col min="258" max="258" width="7.5546875" style="2" customWidth="1"/>
    <col min="259" max="259" width="6.88671875" style="2" customWidth="1"/>
    <col min="260" max="260" width="8.33203125" style="2" customWidth="1"/>
    <col min="261" max="261" width="11.88671875" style="2" customWidth="1"/>
    <col min="262" max="262" width="5.88671875" style="2" customWidth="1"/>
    <col min="263" max="263" width="6.109375" style="2" customWidth="1"/>
    <col min="264" max="264" width="32.109375" style="2" customWidth="1"/>
    <col min="265" max="267" width="7.44140625" style="2" customWidth="1"/>
    <col min="268" max="268" width="4.33203125" style="2" customWidth="1"/>
    <col min="269" max="269" width="40.109375" style="2" customWidth="1"/>
    <col min="270" max="511" width="11.44140625" style="2"/>
    <col min="512" max="512" width="14.33203125" style="2" customWidth="1"/>
    <col min="513" max="513" width="9.6640625" style="2" customWidth="1"/>
    <col min="514" max="514" width="7.5546875" style="2" customWidth="1"/>
    <col min="515" max="515" width="6.88671875" style="2" customWidth="1"/>
    <col min="516" max="516" width="8.33203125" style="2" customWidth="1"/>
    <col min="517" max="517" width="11.88671875" style="2" customWidth="1"/>
    <col min="518" max="518" width="5.88671875" style="2" customWidth="1"/>
    <col min="519" max="519" width="6.109375" style="2" customWidth="1"/>
    <col min="520" max="520" width="32.109375" style="2" customWidth="1"/>
    <col min="521" max="523" width="7.44140625" style="2" customWidth="1"/>
    <col min="524" max="524" width="4.33203125" style="2" customWidth="1"/>
    <col min="525" max="525" width="40.109375" style="2" customWidth="1"/>
    <col min="526" max="767" width="11.44140625" style="2"/>
    <col min="768" max="768" width="14.33203125" style="2" customWidth="1"/>
    <col min="769" max="769" width="9.6640625" style="2" customWidth="1"/>
    <col min="770" max="770" width="7.5546875" style="2" customWidth="1"/>
    <col min="771" max="771" width="6.88671875" style="2" customWidth="1"/>
    <col min="772" max="772" width="8.33203125" style="2" customWidth="1"/>
    <col min="773" max="773" width="11.88671875" style="2" customWidth="1"/>
    <col min="774" max="774" width="5.88671875" style="2" customWidth="1"/>
    <col min="775" max="775" width="6.109375" style="2" customWidth="1"/>
    <col min="776" max="776" width="32.109375" style="2" customWidth="1"/>
    <col min="777" max="779" width="7.44140625" style="2" customWidth="1"/>
    <col min="780" max="780" width="4.33203125" style="2" customWidth="1"/>
    <col min="781" max="781" width="40.109375" style="2" customWidth="1"/>
    <col min="782" max="1023" width="11.44140625" style="2"/>
    <col min="1024" max="1024" width="14.33203125" style="2" customWidth="1"/>
    <col min="1025" max="1025" width="9.6640625" style="2" customWidth="1"/>
    <col min="1026" max="1026" width="7.5546875" style="2" customWidth="1"/>
    <col min="1027" max="1027" width="6.88671875" style="2" customWidth="1"/>
    <col min="1028" max="1028" width="8.33203125" style="2" customWidth="1"/>
    <col min="1029" max="1029" width="11.88671875" style="2" customWidth="1"/>
    <col min="1030" max="1030" width="5.88671875" style="2" customWidth="1"/>
    <col min="1031" max="1031" width="6.109375" style="2" customWidth="1"/>
    <col min="1032" max="1032" width="32.109375" style="2" customWidth="1"/>
    <col min="1033" max="1035" width="7.44140625" style="2" customWidth="1"/>
    <col min="1036" max="1036" width="4.33203125" style="2" customWidth="1"/>
    <col min="1037" max="1037" width="40.109375" style="2" customWidth="1"/>
    <col min="1038" max="1279" width="11.44140625" style="2"/>
    <col min="1280" max="1280" width="14.33203125" style="2" customWidth="1"/>
    <col min="1281" max="1281" width="9.6640625" style="2" customWidth="1"/>
    <col min="1282" max="1282" width="7.5546875" style="2" customWidth="1"/>
    <col min="1283" max="1283" width="6.88671875" style="2" customWidth="1"/>
    <col min="1284" max="1284" width="8.33203125" style="2" customWidth="1"/>
    <col min="1285" max="1285" width="11.88671875" style="2" customWidth="1"/>
    <col min="1286" max="1286" width="5.88671875" style="2" customWidth="1"/>
    <col min="1287" max="1287" width="6.109375" style="2" customWidth="1"/>
    <col min="1288" max="1288" width="32.109375" style="2" customWidth="1"/>
    <col min="1289" max="1291" width="7.44140625" style="2" customWidth="1"/>
    <col min="1292" max="1292" width="4.33203125" style="2" customWidth="1"/>
    <col min="1293" max="1293" width="40.109375" style="2" customWidth="1"/>
    <col min="1294" max="1535" width="11.44140625" style="2"/>
    <col min="1536" max="1536" width="14.33203125" style="2" customWidth="1"/>
    <col min="1537" max="1537" width="9.6640625" style="2" customWidth="1"/>
    <col min="1538" max="1538" width="7.5546875" style="2" customWidth="1"/>
    <col min="1539" max="1539" width="6.88671875" style="2" customWidth="1"/>
    <col min="1540" max="1540" width="8.33203125" style="2" customWidth="1"/>
    <col min="1541" max="1541" width="11.88671875" style="2" customWidth="1"/>
    <col min="1542" max="1542" width="5.88671875" style="2" customWidth="1"/>
    <col min="1543" max="1543" width="6.109375" style="2" customWidth="1"/>
    <col min="1544" max="1544" width="32.109375" style="2" customWidth="1"/>
    <col min="1545" max="1547" width="7.44140625" style="2" customWidth="1"/>
    <col min="1548" max="1548" width="4.33203125" style="2" customWidth="1"/>
    <col min="1549" max="1549" width="40.109375" style="2" customWidth="1"/>
    <col min="1550" max="1791" width="11.44140625" style="2"/>
    <col min="1792" max="1792" width="14.33203125" style="2" customWidth="1"/>
    <col min="1793" max="1793" width="9.6640625" style="2" customWidth="1"/>
    <col min="1794" max="1794" width="7.5546875" style="2" customWidth="1"/>
    <col min="1795" max="1795" width="6.88671875" style="2" customWidth="1"/>
    <col min="1796" max="1796" width="8.33203125" style="2" customWidth="1"/>
    <col min="1797" max="1797" width="11.88671875" style="2" customWidth="1"/>
    <col min="1798" max="1798" width="5.88671875" style="2" customWidth="1"/>
    <col min="1799" max="1799" width="6.109375" style="2" customWidth="1"/>
    <col min="1800" max="1800" width="32.109375" style="2" customWidth="1"/>
    <col min="1801" max="1803" width="7.44140625" style="2" customWidth="1"/>
    <col min="1804" max="1804" width="4.33203125" style="2" customWidth="1"/>
    <col min="1805" max="1805" width="40.109375" style="2" customWidth="1"/>
    <col min="1806" max="2047" width="11.44140625" style="2"/>
    <col min="2048" max="2048" width="14.33203125" style="2" customWidth="1"/>
    <col min="2049" max="2049" width="9.6640625" style="2" customWidth="1"/>
    <col min="2050" max="2050" width="7.5546875" style="2" customWidth="1"/>
    <col min="2051" max="2051" width="6.88671875" style="2" customWidth="1"/>
    <col min="2052" max="2052" width="8.33203125" style="2" customWidth="1"/>
    <col min="2053" max="2053" width="11.88671875" style="2" customWidth="1"/>
    <col min="2054" max="2054" width="5.88671875" style="2" customWidth="1"/>
    <col min="2055" max="2055" width="6.109375" style="2" customWidth="1"/>
    <col min="2056" max="2056" width="32.109375" style="2" customWidth="1"/>
    <col min="2057" max="2059" width="7.44140625" style="2" customWidth="1"/>
    <col min="2060" max="2060" width="4.33203125" style="2" customWidth="1"/>
    <col min="2061" max="2061" width="40.109375" style="2" customWidth="1"/>
    <col min="2062" max="2303" width="11.44140625" style="2"/>
    <col min="2304" max="2304" width="14.33203125" style="2" customWidth="1"/>
    <col min="2305" max="2305" width="9.6640625" style="2" customWidth="1"/>
    <col min="2306" max="2306" width="7.5546875" style="2" customWidth="1"/>
    <col min="2307" max="2307" width="6.88671875" style="2" customWidth="1"/>
    <col min="2308" max="2308" width="8.33203125" style="2" customWidth="1"/>
    <col min="2309" max="2309" width="11.88671875" style="2" customWidth="1"/>
    <col min="2310" max="2310" width="5.88671875" style="2" customWidth="1"/>
    <col min="2311" max="2311" width="6.109375" style="2" customWidth="1"/>
    <col min="2312" max="2312" width="32.109375" style="2" customWidth="1"/>
    <col min="2313" max="2315" width="7.44140625" style="2" customWidth="1"/>
    <col min="2316" max="2316" width="4.33203125" style="2" customWidth="1"/>
    <col min="2317" max="2317" width="40.109375" style="2" customWidth="1"/>
    <col min="2318" max="2559" width="11.44140625" style="2"/>
    <col min="2560" max="2560" width="14.33203125" style="2" customWidth="1"/>
    <col min="2561" max="2561" width="9.6640625" style="2" customWidth="1"/>
    <col min="2562" max="2562" width="7.5546875" style="2" customWidth="1"/>
    <col min="2563" max="2563" width="6.88671875" style="2" customWidth="1"/>
    <col min="2564" max="2564" width="8.33203125" style="2" customWidth="1"/>
    <col min="2565" max="2565" width="11.88671875" style="2" customWidth="1"/>
    <col min="2566" max="2566" width="5.88671875" style="2" customWidth="1"/>
    <col min="2567" max="2567" width="6.109375" style="2" customWidth="1"/>
    <col min="2568" max="2568" width="32.109375" style="2" customWidth="1"/>
    <col min="2569" max="2571" width="7.44140625" style="2" customWidth="1"/>
    <col min="2572" max="2572" width="4.33203125" style="2" customWidth="1"/>
    <col min="2573" max="2573" width="40.109375" style="2" customWidth="1"/>
    <col min="2574" max="2815" width="11.44140625" style="2"/>
    <col min="2816" max="2816" width="14.33203125" style="2" customWidth="1"/>
    <col min="2817" max="2817" width="9.6640625" style="2" customWidth="1"/>
    <col min="2818" max="2818" width="7.5546875" style="2" customWidth="1"/>
    <col min="2819" max="2819" width="6.88671875" style="2" customWidth="1"/>
    <col min="2820" max="2820" width="8.33203125" style="2" customWidth="1"/>
    <col min="2821" max="2821" width="11.88671875" style="2" customWidth="1"/>
    <col min="2822" max="2822" width="5.88671875" style="2" customWidth="1"/>
    <col min="2823" max="2823" width="6.109375" style="2" customWidth="1"/>
    <col min="2824" max="2824" width="32.109375" style="2" customWidth="1"/>
    <col min="2825" max="2827" width="7.44140625" style="2" customWidth="1"/>
    <col min="2828" max="2828" width="4.33203125" style="2" customWidth="1"/>
    <col min="2829" max="2829" width="40.109375" style="2" customWidth="1"/>
    <col min="2830" max="3071" width="11.44140625" style="2"/>
    <col min="3072" max="3072" width="14.33203125" style="2" customWidth="1"/>
    <col min="3073" max="3073" width="9.6640625" style="2" customWidth="1"/>
    <col min="3074" max="3074" width="7.5546875" style="2" customWidth="1"/>
    <col min="3075" max="3075" width="6.88671875" style="2" customWidth="1"/>
    <col min="3076" max="3076" width="8.33203125" style="2" customWidth="1"/>
    <col min="3077" max="3077" width="11.88671875" style="2" customWidth="1"/>
    <col min="3078" max="3078" width="5.88671875" style="2" customWidth="1"/>
    <col min="3079" max="3079" width="6.109375" style="2" customWidth="1"/>
    <col min="3080" max="3080" width="32.109375" style="2" customWidth="1"/>
    <col min="3081" max="3083" width="7.44140625" style="2" customWidth="1"/>
    <col min="3084" max="3084" width="4.33203125" style="2" customWidth="1"/>
    <col min="3085" max="3085" width="40.109375" style="2" customWidth="1"/>
    <col min="3086" max="3327" width="11.44140625" style="2"/>
    <col min="3328" max="3328" width="14.33203125" style="2" customWidth="1"/>
    <col min="3329" max="3329" width="9.6640625" style="2" customWidth="1"/>
    <col min="3330" max="3330" width="7.5546875" style="2" customWidth="1"/>
    <col min="3331" max="3331" width="6.88671875" style="2" customWidth="1"/>
    <col min="3332" max="3332" width="8.33203125" style="2" customWidth="1"/>
    <col min="3333" max="3333" width="11.88671875" style="2" customWidth="1"/>
    <col min="3334" max="3334" width="5.88671875" style="2" customWidth="1"/>
    <col min="3335" max="3335" width="6.109375" style="2" customWidth="1"/>
    <col min="3336" max="3336" width="32.109375" style="2" customWidth="1"/>
    <col min="3337" max="3339" width="7.44140625" style="2" customWidth="1"/>
    <col min="3340" max="3340" width="4.33203125" style="2" customWidth="1"/>
    <col min="3341" max="3341" width="40.109375" style="2" customWidth="1"/>
    <col min="3342" max="3583" width="11.44140625" style="2"/>
    <col min="3584" max="3584" width="14.33203125" style="2" customWidth="1"/>
    <col min="3585" max="3585" width="9.6640625" style="2" customWidth="1"/>
    <col min="3586" max="3586" width="7.5546875" style="2" customWidth="1"/>
    <col min="3587" max="3587" width="6.88671875" style="2" customWidth="1"/>
    <col min="3588" max="3588" width="8.33203125" style="2" customWidth="1"/>
    <col min="3589" max="3589" width="11.88671875" style="2" customWidth="1"/>
    <col min="3590" max="3590" width="5.88671875" style="2" customWidth="1"/>
    <col min="3591" max="3591" width="6.109375" style="2" customWidth="1"/>
    <col min="3592" max="3592" width="32.109375" style="2" customWidth="1"/>
    <col min="3593" max="3595" width="7.44140625" style="2" customWidth="1"/>
    <col min="3596" max="3596" width="4.33203125" style="2" customWidth="1"/>
    <col min="3597" max="3597" width="40.109375" style="2" customWidth="1"/>
    <col min="3598" max="3839" width="11.44140625" style="2"/>
    <col min="3840" max="3840" width="14.33203125" style="2" customWidth="1"/>
    <col min="3841" max="3841" width="9.6640625" style="2" customWidth="1"/>
    <col min="3842" max="3842" width="7.5546875" style="2" customWidth="1"/>
    <col min="3843" max="3843" width="6.88671875" style="2" customWidth="1"/>
    <col min="3844" max="3844" width="8.33203125" style="2" customWidth="1"/>
    <col min="3845" max="3845" width="11.88671875" style="2" customWidth="1"/>
    <col min="3846" max="3846" width="5.88671875" style="2" customWidth="1"/>
    <col min="3847" max="3847" width="6.109375" style="2" customWidth="1"/>
    <col min="3848" max="3848" width="32.109375" style="2" customWidth="1"/>
    <col min="3849" max="3851" width="7.44140625" style="2" customWidth="1"/>
    <col min="3852" max="3852" width="4.33203125" style="2" customWidth="1"/>
    <col min="3853" max="3853" width="40.109375" style="2" customWidth="1"/>
    <col min="3854" max="4095" width="11.44140625" style="2"/>
    <col min="4096" max="4096" width="14.33203125" style="2" customWidth="1"/>
    <col min="4097" max="4097" width="9.6640625" style="2" customWidth="1"/>
    <col min="4098" max="4098" width="7.5546875" style="2" customWidth="1"/>
    <col min="4099" max="4099" width="6.88671875" style="2" customWidth="1"/>
    <col min="4100" max="4100" width="8.33203125" style="2" customWidth="1"/>
    <col min="4101" max="4101" width="11.88671875" style="2" customWidth="1"/>
    <col min="4102" max="4102" width="5.88671875" style="2" customWidth="1"/>
    <col min="4103" max="4103" width="6.109375" style="2" customWidth="1"/>
    <col min="4104" max="4104" width="32.109375" style="2" customWidth="1"/>
    <col min="4105" max="4107" width="7.44140625" style="2" customWidth="1"/>
    <col min="4108" max="4108" width="4.33203125" style="2" customWidth="1"/>
    <col min="4109" max="4109" width="40.109375" style="2" customWidth="1"/>
    <col min="4110" max="4351" width="11.44140625" style="2"/>
    <col min="4352" max="4352" width="14.33203125" style="2" customWidth="1"/>
    <col min="4353" max="4353" width="9.6640625" style="2" customWidth="1"/>
    <col min="4354" max="4354" width="7.5546875" style="2" customWidth="1"/>
    <col min="4355" max="4355" width="6.88671875" style="2" customWidth="1"/>
    <col min="4356" max="4356" width="8.33203125" style="2" customWidth="1"/>
    <col min="4357" max="4357" width="11.88671875" style="2" customWidth="1"/>
    <col min="4358" max="4358" width="5.88671875" style="2" customWidth="1"/>
    <col min="4359" max="4359" width="6.109375" style="2" customWidth="1"/>
    <col min="4360" max="4360" width="32.109375" style="2" customWidth="1"/>
    <col min="4361" max="4363" width="7.44140625" style="2" customWidth="1"/>
    <col min="4364" max="4364" width="4.33203125" style="2" customWidth="1"/>
    <col min="4365" max="4365" width="40.109375" style="2" customWidth="1"/>
    <col min="4366" max="4607" width="11.44140625" style="2"/>
    <col min="4608" max="4608" width="14.33203125" style="2" customWidth="1"/>
    <col min="4609" max="4609" width="9.6640625" style="2" customWidth="1"/>
    <col min="4610" max="4610" width="7.5546875" style="2" customWidth="1"/>
    <col min="4611" max="4611" width="6.88671875" style="2" customWidth="1"/>
    <col min="4612" max="4612" width="8.33203125" style="2" customWidth="1"/>
    <col min="4613" max="4613" width="11.88671875" style="2" customWidth="1"/>
    <col min="4614" max="4614" width="5.88671875" style="2" customWidth="1"/>
    <col min="4615" max="4615" width="6.109375" style="2" customWidth="1"/>
    <col min="4616" max="4616" width="32.109375" style="2" customWidth="1"/>
    <col min="4617" max="4619" width="7.44140625" style="2" customWidth="1"/>
    <col min="4620" max="4620" width="4.33203125" style="2" customWidth="1"/>
    <col min="4621" max="4621" width="40.109375" style="2" customWidth="1"/>
    <col min="4622" max="4863" width="11.44140625" style="2"/>
    <col min="4864" max="4864" width="14.33203125" style="2" customWidth="1"/>
    <col min="4865" max="4865" width="9.6640625" style="2" customWidth="1"/>
    <col min="4866" max="4866" width="7.5546875" style="2" customWidth="1"/>
    <col min="4867" max="4867" width="6.88671875" style="2" customWidth="1"/>
    <col min="4868" max="4868" width="8.33203125" style="2" customWidth="1"/>
    <col min="4869" max="4869" width="11.88671875" style="2" customWidth="1"/>
    <col min="4870" max="4870" width="5.88671875" style="2" customWidth="1"/>
    <col min="4871" max="4871" width="6.109375" style="2" customWidth="1"/>
    <col min="4872" max="4872" width="32.109375" style="2" customWidth="1"/>
    <col min="4873" max="4875" width="7.44140625" style="2" customWidth="1"/>
    <col min="4876" max="4876" width="4.33203125" style="2" customWidth="1"/>
    <col min="4877" max="4877" width="40.109375" style="2" customWidth="1"/>
    <col min="4878" max="5119" width="11.44140625" style="2"/>
    <col min="5120" max="5120" width="14.33203125" style="2" customWidth="1"/>
    <col min="5121" max="5121" width="9.6640625" style="2" customWidth="1"/>
    <col min="5122" max="5122" width="7.5546875" style="2" customWidth="1"/>
    <col min="5123" max="5123" width="6.88671875" style="2" customWidth="1"/>
    <col min="5124" max="5124" width="8.33203125" style="2" customWidth="1"/>
    <col min="5125" max="5125" width="11.88671875" style="2" customWidth="1"/>
    <col min="5126" max="5126" width="5.88671875" style="2" customWidth="1"/>
    <col min="5127" max="5127" width="6.109375" style="2" customWidth="1"/>
    <col min="5128" max="5128" width="32.109375" style="2" customWidth="1"/>
    <col min="5129" max="5131" width="7.44140625" style="2" customWidth="1"/>
    <col min="5132" max="5132" width="4.33203125" style="2" customWidth="1"/>
    <col min="5133" max="5133" width="40.109375" style="2" customWidth="1"/>
    <col min="5134" max="5375" width="11.44140625" style="2"/>
    <col min="5376" max="5376" width="14.33203125" style="2" customWidth="1"/>
    <col min="5377" max="5377" width="9.6640625" style="2" customWidth="1"/>
    <col min="5378" max="5378" width="7.5546875" style="2" customWidth="1"/>
    <col min="5379" max="5379" width="6.88671875" style="2" customWidth="1"/>
    <col min="5380" max="5380" width="8.33203125" style="2" customWidth="1"/>
    <col min="5381" max="5381" width="11.88671875" style="2" customWidth="1"/>
    <col min="5382" max="5382" width="5.88671875" style="2" customWidth="1"/>
    <col min="5383" max="5383" width="6.109375" style="2" customWidth="1"/>
    <col min="5384" max="5384" width="32.109375" style="2" customWidth="1"/>
    <col min="5385" max="5387" width="7.44140625" style="2" customWidth="1"/>
    <col min="5388" max="5388" width="4.33203125" style="2" customWidth="1"/>
    <col min="5389" max="5389" width="40.109375" style="2" customWidth="1"/>
    <col min="5390" max="5631" width="11.44140625" style="2"/>
    <col min="5632" max="5632" width="14.33203125" style="2" customWidth="1"/>
    <col min="5633" max="5633" width="9.6640625" style="2" customWidth="1"/>
    <col min="5634" max="5634" width="7.5546875" style="2" customWidth="1"/>
    <col min="5635" max="5635" width="6.88671875" style="2" customWidth="1"/>
    <col min="5636" max="5636" width="8.33203125" style="2" customWidth="1"/>
    <col min="5637" max="5637" width="11.88671875" style="2" customWidth="1"/>
    <col min="5638" max="5638" width="5.88671875" style="2" customWidth="1"/>
    <col min="5639" max="5639" width="6.109375" style="2" customWidth="1"/>
    <col min="5640" max="5640" width="32.109375" style="2" customWidth="1"/>
    <col min="5641" max="5643" width="7.44140625" style="2" customWidth="1"/>
    <col min="5644" max="5644" width="4.33203125" style="2" customWidth="1"/>
    <col min="5645" max="5645" width="40.109375" style="2" customWidth="1"/>
    <col min="5646" max="5887" width="11.44140625" style="2"/>
    <col min="5888" max="5888" width="14.33203125" style="2" customWidth="1"/>
    <col min="5889" max="5889" width="9.6640625" style="2" customWidth="1"/>
    <col min="5890" max="5890" width="7.5546875" style="2" customWidth="1"/>
    <col min="5891" max="5891" width="6.88671875" style="2" customWidth="1"/>
    <col min="5892" max="5892" width="8.33203125" style="2" customWidth="1"/>
    <col min="5893" max="5893" width="11.88671875" style="2" customWidth="1"/>
    <col min="5894" max="5894" width="5.88671875" style="2" customWidth="1"/>
    <col min="5895" max="5895" width="6.109375" style="2" customWidth="1"/>
    <col min="5896" max="5896" width="32.109375" style="2" customWidth="1"/>
    <col min="5897" max="5899" width="7.44140625" style="2" customWidth="1"/>
    <col min="5900" max="5900" width="4.33203125" style="2" customWidth="1"/>
    <col min="5901" max="5901" width="40.109375" style="2" customWidth="1"/>
    <col min="5902" max="6143" width="11.44140625" style="2"/>
    <col min="6144" max="6144" width="14.33203125" style="2" customWidth="1"/>
    <col min="6145" max="6145" width="9.6640625" style="2" customWidth="1"/>
    <col min="6146" max="6146" width="7.5546875" style="2" customWidth="1"/>
    <col min="6147" max="6147" width="6.88671875" style="2" customWidth="1"/>
    <col min="6148" max="6148" width="8.33203125" style="2" customWidth="1"/>
    <col min="6149" max="6149" width="11.88671875" style="2" customWidth="1"/>
    <col min="6150" max="6150" width="5.88671875" style="2" customWidth="1"/>
    <col min="6151" max="6151" width="6.109375" style="2" customWidth="1"/>
    <col min="6152" max="6152" width="32.109375" style="2" customWidth="1"/>
    <col min="6153" max="6155" width="7.44140625" style="2" customWidth="1"/>
    <col min="6156" max="6156" width="4.33203125" style="2" customWidth="1"/>
    <col min="6157" max="6157" width="40.109375" style="2" customWidth="1"/>
    <col min="6158" max="6399" width="11.44140625" style="2"/>
    <col min="6400" max="6400" width="14.33203125" style="2" customWidth="1"/>
    <col min="6401" max="6401" width="9.6640625" style="2" customWidth="1"/>
    <col min="6402" max="6402" width="7.5546875" style="2" customWidth="1"/>
    <col min="6403" max="6403" width="6.88671875" style="2" customWidth="1"/>
    <col min="6404" max="6404" width="8.33203125" style="2" customWidth="1"/>
    <col min="6405" max="6405" width="11.88671875" style="2" customWidth="1"/>
    <col min="6406" max="6406" width="5.88671875" style="2" customWidth="1"/>
    <col min="6407" max="6407" width="6.109375" style="2" customWidth="1"/>
    <col min="6408" max="6408" width="32.109375" style="2" customWidth="1"/>
    <col min="6409" max="6411" width="7.44140625" style="2" customWidth="1"/>
    <col min="6412" max="6412" width="4.33203125" style="2" customWidth="1"/>
    <col min="6413" max="6413" width="40.109375" style="2" customWidth="1"/>
    <col min="6414" max="6655" width="11.44140625" style="2"/>
    <col min="6656" max="6656" width="14.33203125" style="2" customWidth="1"/>
    <col min="6657" max="6657" width="9.6640625" style="2" customWidth="1"/>
    <col min="6658" max="6658" width="7.5546875" style="2" customWidth="1"/>
    <col min="6659" max="6659" width="6.88671875" style="2" customWidth="1"/>
    <col min="6660" max="6660" width="8.33203125" style="2" customWidth="1"/>
    <col min="6661" max="6661" width="11.88671875" style="2" customWidth="1"/>
    <col min="6662" max="6662" width="5.88671875" style="2" customWidth="1"/>
    <col min="6663" max="6663" width="6.109375" style="2" customWidth="1"/>
    <col min="6664" max="6664" width="32.109375" style="2" customWidth="1"/>
    <col min="6665" max="6667" width="7.44140625" style="2" customWidth="1"/>
    <col min="6668" max="6668" width="4.33203125" style="2" customWidth="1"/>
    <col min="6669" max="6669" width="40.109375" style="2" customWidth="1"/>
    <col min="6670" max="6911" width="11.44140625" style="2"/>
    <col min="6912" max="6912" width="14.33203125" style="2" customWidth="1"/>
    <col min="6913" max="6913" width="9.6640625" style="2" customWidth="1"/>
    <col min="6914" max="6914" width="7.5546875" style="2" customWidth="1"/>
    <col min="6915" max="6915" width="6.88671875" style="2" customWidth="1"/>
    <col min="6916" max="6916" width="8.33203125" style="2" customWidth="1"/>
    <col min="6917" max="6917" width="11.88671875" style="2" customWidth="1"/>
    <col min="6918" max="6918" width="5.88671875" style="2" customWidth="1"/>
    <col min="6919" max="6919" width="6.109375" style="2" customWidth="1"/>
    <col min="6920" max="6920" width="32.109375" style="2" customWidth="1"/>
    <col min="6921" max="6923" width="7.44140625" style="2" customWidth="1"/>
    <col min="6924" max="6924" width="4.33203125" style="2" customWidth="1"/>
    <col min="6925" max="6925" width="40.109375" style="2" customWidth="1"/>
    <col min="6926" max="7167" width="11.44140625" style="2"/>
    <col min="7168" max="7168" width="14.33203125" style="2" customWidth="1"/>
    <col min="7169" max="7169" width="9.6640625" style="2" customWidth="1"/>
    <col min="7170" max="7170" width="7.5546875" style="2" customWidth="1"/>
    <col min="7171" max="7171" width="6.88671875" style="2" customWidth="1"/>
    <col min="7172" max="7172" width="8.33203125" style="2" customWidth="1"/>
    <col min="7173" max="7173" width="11.88671875" style="2" customWidth="1"/>
    <col min="7174" max="7174" width="5.88671875" style="2" customWidth="1"/>
    <col min="7175" max="7175" width="6.109375" style="2" customWidth="1"/>
    <col min="7176" max="7176" width="32.109375" style="2" customWidth="1"/>
    <col min="7177" max="7179" width="7.44140625" style="2" customWidth="1"/>
    <col min="7180" max="7180" width="4.33203125" style="2" customWidth="1"/>
    <col min="7181" max="7181" width="40.109375" style="2" customWidth="1"/>
    <col min="7182" max="7423" width="11.44140625" style="2"/>
    <col min="7424" max="7424" width="14.33203125" style="2" customWidth="1"/>
    <col min="7425" max="7425" width="9.6640625" style="2" customWidth="1"/>
    <col min="7426" max="7426" width="7.5546875" style="2" customWidth="1"/>
    <col min="7427" max="7427" width="6.88671875" style="2" customWidth="1"/>
    <col min="7428" max="7428" width="8.33203125" style="2" customWidth="1"/>
    <col min="7429" max="7429" width="11.88671875" style="2" customWidth="1"/>
    <col min="7430" max="7430" width="5.88671875" style="2" customWidth="1"/>
    <col min="7431" max="7431" width="6.109375" style="2" customWidth="1"/>
    <col min="7432" max="7432" width="32.109375" style="2" customWidth="1"/>
    <col min="7433" max="7435" width="7.44140625" style="2" customWidth="1"/>
    <col min="7436" max="7436" width="4.33203125" style="2" customWidth="1"/>
    <col min="7437" max="7437" width="40.109375" style="2" customWidth="1"/>
    <col min="7438" max="7679" width="11.44140625" style="2"/>
    <col min="7680" max="7680" width="14.33203125" style="2" customWidth="1"/>
    <col min="7681" max="7681" width="9.6640625" style="2" customWidth="1"/>
    <col min="7682" max="7682" width="7.5546875" style="2" customWidth="1"/>
    <col min="7683" max="7683" width="6.88671875" style="2" customWidth="1"/>
    <col min="7684" max="7684" width="8.33203125" style="2" customWidth="1"/>
    <col min="7685" max="7685" width="11.88671875" style="2" customWidth="1"/>
    <col min="7686" max="7686" width="5.88671875" style="2" customWidth="1"/>
    <col min="7687" max="7687" width="6.109375" style="2" customWidth="1"/>
    <col min="7688" max="7688" width="32.109375" style="2" customWidth="1"/>
    <col min="7689" max="7691" width="7.44140625" style="2" customWidth="1"/>
    <col min="7692" max="7692" width="4.33203125" style="2" customWidth="1"/>
    <col min="7693" max="7693" width="40.109375" style="2" customWidth="1"/>
    <col min="7694" max="7935" width="11.44140625" style="2"/>
    <col min="7936" max="7936" width="14.33203125" style="2" customWidth="1"/>
    <col min="7937" max="7937" width="9.6640625" style="2" customWidth="1"/>
    <col min="7938" max="7938" width="7.5546875" style="2" customWidth="1"/>
    <col min="7939" max="7939" width="6.88671875" style="2" customWidth="1"/>
    <col min="7940" max="7940" width="8.33203125" style="2" customWidth="1"/>
    <col min="7941" max="7941" width="11.88671875" style="2" customWidth="1"/>
    <col min="7942" max="7942" width="5.88671875" style="2" customWidth="1"/>
    <col min="7943" max="7943" width="6.109375" style="2" customWidth="1"/>
    <col min="7944" max="7944" width="32.109375" style="2" customWidth="1"/>
    <col min="7945" max="7947" width="7.44140625" style="2" customWidth="1"/>
    <col min="7948" max="7948" width="4.33203125" style="2" customWidth="1"/>
    <col min="7949" max="7949" width="40.109375" style="2" customWidth="1"/>
    <col min="7950" max="8191" width="11.44140625" style="2"/>
    <col min="8192" max="8192" width="14.33203125" style="2" customWidth="1"/>
    <col min="8193" max="8193" width="9.6640625" style="2" customWidth="1"/>
    <col min="8194" max="8194" width="7.5546875" style="2" customWidth="1"/>
    <col min="8195" max="8195" width="6.88671875" style="2" customWidth="1"/>
    <col min="8196" max="8196" width="8.33203125" style="2" customWidth="1"/>
    <col min="8197" max="8197" width="11.88671875" style="2" customWidth="1"/>
    <col min="8198" max="8198" width="5.88671875" style="2" customWidth="1"/>
    <col min="8199" max="8199" width="6.109375" style="2" customWidth="1"/>
    <col min="8200" max="8200" width="32.109375" style="2" customWidth="1"/>
    <col min="8201" max="8203" width="7.44140625" style="2" customWidth="1"/>
    <col min="8204" max="8204" width="4.33203125" style="2" customWidth="1"/>
    <col min="8205" max="8205" width="40.109375" style="2" customWidth="1"/>
    <col min="8206" max="8447" width="11.44140625" style="2"/>
    <col min="8448" max="8448" width="14.33203125" style="2" customWidth="1"/>
    <col min="8449" max="8449" width="9.6640625" style="2" customWidth="1"/>
    <col min="8450" max="8450" width="7.5546875" style="2" customWidth="1"/>
    <col min="8451" max="8451" width="6.88671875" style="2" customWidth="1"/>
    <col min="8452" max="8452" width="8.33203125" style="2" customWidth="1"/>
    <col min="8453" max="8453" width="11.88671875" style="2" customWidth="1"/>
    <col min="8454" max="8454" width="5.88671875" style="2" customWidth="1"/>
    <col min="8455" max="8455" width="6.109375" style="2" customWidth="1"/>
    <col min="8456" max="8456" width="32.109375" style="2" customWidth="1"/>
    <col min="8457" max="8459" width="7.44140625" style="2" customWidth="1"/>
    <col min="8460" max="8460" width="4.33203125" style="2" customWidth="1"/>
    <col min="8461" max="8461" width="40.109375" style="2" customWidth="1"/>
    <col min="8462" max="8703" width="11.44140625" style="2"/>
    <col min="8704" max="8704" width="14.33203125" style="2" customWidth="1"/>
    <col min="8705" max="8705" width="9.6640625" style="2" customWidth="1"/>
    <col min="8706" max="8706" width="7.5546875" style="2" customWidth="1"/>
    <col min="8707" max="8707" width="6.88671875" style="2" customWidth="1"/>
    <col min="8708" max="8708" width="8.33203125" style="2" customWidth="1"/>
    <col min="8709" max="8709" width="11.88671875" style="2" customWidth="1"/>
    <col min="8710" max="8710" width="5.88671875" style="2" customWidth="1"/>
    <col min="8711" max="8711" width="6.109375" style="2" customWidth="1"/>
    <col min="8712" max="8712" width="32.109375" style="2" customWidth="1"/>
    <col min="8713" max="8715" width="7.44140625" style="2" customWidth="1"/>
    <col min="8716" max="8716" width="4.33203125" style="2" customWidth="1"/>
    <col min="8717" max="8717" width="40.109375" style="2" customWidth="1"/>
    <col min="8718" max="8959" width="11.44140625" style="2"/>
    <col min="8960" max="8960" width="14.33203125" style="2" customWidth="1"/>
    <col min="8961" max="8961" width="9.6640625" style="2" customWidth="1"/>
    <col min="8962" max="8962" width="7.5546875" style="2" customWidth="1"/>
    <col min="8963" max="8963" width="6.88671875" style="2" customWidth="1"/>
    <col min="8964" max="8964" width="8.33203125" style="2" customWidth="1"/>
    <col min="8965" max="8965" width="11.88671875" style="2" customWidth="1"/>
    <col min="8966" max="8966" width="5.88671875" style="2" customWidth="1"/>
    <col min="8967" max="8967" width="6.109375" style="2" customWidth="1"/>
    <col min="8968" max="8968" width="32.109375" style="2" customWidth="1"/>
    <col min="8969" max="8971" width="7.44140625" style="2" customWidth="1"/>
    <col min="8972" max="8972" width="4.33203125" style="2" customWidth="1"/>
    <col min="8973" max="8973" width="40.109375" style="2" customWidth="1"/>
    <col min="8974" max="9215" width="11.44140625" style="2"/>
    <col min="9216" max="9216" width="14.33203125" style="2" customWidth="1"/>
    <col min="9217" max="9217" width="9.6640625" style="2" customWidth="1"/>
    <col min="9218" max="9218" width="7.5546875" style="2" customWidth="1"/>
    <col min="9219" max="9219" width="6.88671875" style="2" customWidth="1"/>
    <col min="9220" max="9220" width="8.33203125" style="2" customWidth="1"/>
    <col min="9221" max="9221" width="11.88671875" style="2" customWidth="1"/>
    <col min="9222" max="9222" width="5.88671875" style="2" customWidth="1"/>
    <col min="9223" max="9223" width="6.109375" style="2" customWidth="1"/>
    <col min="9224" max="9224" width="32.109375" style="2" customWidth="1"/>
    <col min="9225" max="9227" width="7.44140625" style="2" customWidth="1"/>
    <col min="9228" max="9228" width="4.33203125" style="2" customWidth="1"/>
    <col min="9229" max="9229" width="40.109375" style="2" customWidth="1"/>
    <col min="9230" max="9471" width="11.44140625" style="2"/>
    <col min="9472" max="9472" width="14.33203125" style="2" customWidth="1"/>
    <col min="9473" max="9473" width="9.6640625" style="2" customWidth="1"/>
    <col min="9474" max="9474" width="7.5546875" style="2" customWidth="1"/>
    <col min="9475" max="9475" width="6.88671875" style="2" customWidth="1"/>
    <col min="9476" max="9476" width="8.33203125" style="2" customWidth="1"/>
    <col min="9477" max="9477" width="11.88671875" style="2" customWidth="1"/>
    <col min="9478" max="9478" width="5.88671875" style="2" customWidth="1"/>
    <col min="9479" max="9479" width="6.109375" style="2" customWidth="1"/>
    <col min="9480" max="9480" width="32.109375" style="2" customWidth="1"/>
    <col min="9481" max="9483" width="7.44140625" style="2" customWidth="1"/>
    <col min="9484" max="9484" width="4.33203125" style="2" customWidth="1"/>
    <col min="9485" max="9485" width="40.109375" style="2" customWidth="1"/>
    <col min="9486" max="9727" width="11.44140625" style="2"/>
    <col min="9728" max="9728" width="14.33203125" style="2" customWidth="1"/>
    <col min="9729" max="9729" width="9.6640625" style="2" customWidth="1"/>
    <col min="9730" max="9730" width="7.5546875" style="2" customWidth="1"/>
    <col min="9731" max="9731" width="6.88671875" style="2" customWidth="1"/>
    <col min="9732" max="9732" width="8.33203125" style="2" customWidth="1"/>
    <col min="9733" max="9733" width="11.88671875" style="2" customWidth="1"/>
    <col min="9734" max="9734" width="5.88671875" style="2" customWidth="1"/>
    <col min="9735" max="9735" width="6.109375" style="2" customWidth="1"/>
    <col min="9736" max="9736" width="32.109375" style="2" customWidth="1"/>
    <col min="9737" max="9739" width="7.44140625" style="2" customWidth="1"/>
    <col min="9740" max="9740" width="4.33203125" style="2" customWidth="1"/>
    <col min="9741" max="9741" width="40.109375" style="2" customWidth="1"/>
    <col min="9742" max="9983" width="11.44140625" style="2"/>
    <col min="9984" max="9984" width="14.33203125" style="2" customWidth="1"/>
    <col min="9985" max="9985" width="9.6640625" style="2" customWidth="1"/>
    <col min="9986" max="9986" width="7.5546875" style="2" customWidth="1"/>
    <col min="9987" max="9987" width="6.88671875" style="2" customWidth="1"/>
    <col min="9988" max="9988" width="8.33203125" style="2" customWidth="1"/>
    <col min="9989" max="9989" width="11.88671875" style="2" customWidth="1"/>
    <col min="9990" max="9990" width="5.88671875" style="2" customWidth="1"/>
    <col min="9991" max="9991" width="6.109375" style="2" customWidth="1"/>
    <col min="9992" max="9992" width="32.109375" style="2" customWidth="1"/>
    <col min="9993" max="9995" width="7.44140625" style="2" customWidth="1"/>
    <col min="9996" max="9996" width="4.33203125" style="2" customWidth="1"/>
    <col min="9997" max="9997" width="40.109375" style="2" customWidth="1"/>
    <col min="9998" max="10239" width="11.44140625" style="2"/>
    <col min="10240" max="10240" width="14.33203125" style="2" customWidth="1"/>
    <col min="10241" max="10241" width="9.6640625" style="2" customWidth="1"/>
    <col min="10242" max="10242" width="7.5546875" style="2" customWidth="1"/>
    <col min="10243" max="10243" width="6.88671875" style="2" customWidth="1"/>
    <col min="10244" max="10244" width="8.33203125" style="2" customWidth="1"/>
    <col min="10245" max="10245" width="11.88671875" style="2" customWidth="1"/>
    <col min="10246" max="10246" width="5.88671875" style="2" customWidth="1"/>
    <col min="10247" max="10247" width="6.109375" style="2" customWidth="1"/>
    <col min="10248" max="10248" width="32.109375" style="2" customWidth="1"/>
    <col min="10249" max="10251" width="7.44140625" style="2" customWidth="1"/>
    <col min="10252" max="10252" width="4.33203125" style="2" customWidth="1"/>
    <col min="10253" max="10253" width="40.109375" style="2" customWidth="1"/>
    <col min="10254" max="10495" width="11.44140625" style="2"/>
    <col min="10496" max="10496" width="14.33203125" style="2" customWidth="1"/>
    <col min="10497" max="10497" width="9.6640625" style="2" customWidth="1"/>
    <col min="10498" max="10498" width="7.5546875" style="2" customWidth="1"/>
    <col min="10499" max="10499" width="6.88671875" style="2" customWidth="1"/>
    <col min="10500" max="10500" width="8.33203125" style="2" customWidth="1"/>
    <col min="10501" max="10501" width="11.88671875" style="2" customWidth="1"/>
    <col min="10502" max="10502" width="5.88671875" style="2" customWidth="1"/>
    <col min="10503" max="10503" width="6.109375" style="2" customWidth="1"/>
    <col min="10504" max="10504" width="32.109375" style="2" customWidth="1"/>
    <col min="10505" max="10507" width="7.44140625" style="2" customWidth="1"/>
    <col min="10508" max="10508" width="4.33203125" style="2" customWidth="1"/>
    <col min="10509" max="10509" width="40.109375" style="2" customWidth="1"/>
    <col min="10510" max="10751" width="11.44140625" style="2"/>
    <col min="10752" max="10752" width="14.33203125" style="2" customWidth="1"/>
    <col min="10753" max="10753" width="9.6640625" style="2" customWidth="1"/>
    <col min="10754" max="10754" width="7.5546875" style="2" customWidth="1"/>
    <col min="10755" max="10755" width="6.88671875" style="2" customWidth="1"/>
    <col min="10756" max="10756" width="8.33203125" style="2" customWidth="1"/>
    <col min="10757" max="10757" width="11.88671875" style="2" customWidth="1"/>
    <col min="10758" max="10758" width="5.88671875" style="2" customWidth="1"/>
    <col min="10759" max="10759" width="6.109375" style="2" customWidth="1"/>
    <col min="10760" max="10760" width="32.109375" style="2" customWidth="1"/>
    <col min="10761" max="10763" width="7.44140625" style="2" customWidth="1"/>
    <col min="10764" max="10764" width="4.33203125" style="2" customWidth="1"/>
    <col min="10765" max="10765" width="40.109375" style="2" customWidth="1"/>
    <col min="10766" max="11007" width="11.44140625" style="2"/>
    <col min="11008" max="11008" width="14.33203125" style="2" customWidth="1"/>
    <col min="11009" max="11009" width="9.6640625" style="2" customWidth="1"/>
    <col min="11010" max="11010" width="7.5546875" style="2" customWidth="1"/>
    <col min="11011" max="11011" width="6.88671875" style="2" customWidth="1"/>
    <col min="11012" max="11012" width="8.33203125" style="2" customWidth="1"/>
    <col min="11013" max="11013" width="11.88671875" style="2" customWidth="1"/>
    <col min="11014" max="11014" width="5.88671875" style="2" customWidth="1"/>
    <col min="11015" max="11015" width="6.109375" style="2" customWidth="1"/>
    <col min="11016" max="11016" width="32.109375" style="2" customWidth="1"/>
    <col min="11017" max="11019" width="7.44140625" style="2" customWidth="1"/>
    <col min="11020" max="11020" width="4.33203125" style="2" customWidth="1"/>
    <col min="11021" max="11021" width="40.109375" style="2" customWidth="1"/>
    <col min="11022" max="11263" width="11.44140625" style="2"/>
    <col min="11264" max="11264" width="14.33203125" style="2" customWidth="1"/>
    <col min="11265" max="11265" width="9.6640625" style="2" customWidth="1"/>
    <col min="11266" max="11266" width="7.5546875" style="2" customWidth="1"/>
    <col min="11267" max="11267" width="6.88671875" style="2" customWidth="1"/>
    <col min="11268" max="11268" width="8.33203125" style="2" customWidth="1"/>
    <col min="11269" max="11269" width="11.88671875" style="2" customWidth="1"/>
    <col min="11270" max="11270" width="5.88671875" style="2" customWidth="1"/>
    <col min="11271" max="11271" width="6.109375" style="2" customWidth="1"/>
    <col min="11272" max="11272" width="32.109375" style="2" customWidth="1"/>
    <col min="11273" max="11275" width="7.44140625" style="2" customWidth="1"/>
    <col min="11276" max="11276" width="4.33203125" style="2" customWidth="1"/>
    <col min="11277" max="11277" width="40.109375" style="2" customWidth="1"/>
    <col min="11278" max="11519" width="11.44140625" style="2"/>
    <col min="11520" max="11520" width="14.33203125" style="2" customWidth="1"/>
    <col min="11521" max="11521" width="9.6640625" style="2" customWidth="1"/>
    <col min="11522" max="11522" width="7.5546875" style="2" customWidth="1"/>
    <col min="11523" max="11523" width="6.88671875" style="2" customWidth="1"/>
    <col min="11524" max="11524" width="8.33203125" style="2" customWidth="1"/>
    <col min="11525" max="11525" width="11.88671875" style="2" customWidth="1"/>
    <col min="11526" max="11526" width="5.88671875" style="2" customWidth="1"/>
    <col min="11527" max="11527" width="6.109375" style="2" customWidth="1"/>
    <col min="11528" max="11528" width="32.109375" style="2" customWidth="1"/>
    <col min="11529" max="11531" width="7.44140625" style="2" customWidth="1"/>
    <col min="11532" max="11532" width="4.33203125" style="2" customWidth="1"/>
    <col min="11533" max="11533" width="40.109375" style="2" customWidth="1"/>
    <col min="11534" max="11775" width="11.44140625" style="2"/>
    <col min="11776" max="11776" width="14.33203125" style="2" customWidth="1"/>
    <col min="11777" max="11777" width="9.6640625" style="2" customWidth="1"/>
    <col min="11778" max="11778" width="7.5546875" style="2" customWidth="1"/>
    <col min="11779" max="11779" width="6.88671875" style="2" customWidth="1"/>
    <col min="11780" max="11780" width="8.33203125" style="2" customWidth="1"/>
    <col min="11781" max="11781" width="11.88671875" style="2" customWidth="1"/>
    <col min="11782" max="11782" width="5.88671875" style="2" customWidth="1"/>
    <col min="11783" max="11783" width="6.109375" style="2" customWidth="1"/>
    <col min="11784" max="11784" width="32.109375" style="2" customWidth="1"/>
    <col min="11785" max="11787" width="7.44140625" style="2" customWidth="1"/>
    <col min="11788" max="11788" width="4.33203125" style="2" customWidth="1"/>
    <col min="11789" max="11789" width="40.109375" style="2" customWidth="1"/>
    <col min="11790" max="12031" width="11.44140625" style="2"/>
    <col min="12032" max="12032" width="14.33203125" style="2" customWidth="1"/>
    <col min="12033" max="12033" width="9.6640625" style="2" customWidth="1"/>
    <col min="12034" max="12034" width="7.5546875" style="2" customWidth="1"/>
    <col min="12035" max="12035" width="6.88671875" style="2" customWidth="1"/>
    <col min="12036" max="12036" width="8.33203125" style="2" customWidth="1"/>
    <col min="12037" max="12037" width="11.88671875" style="2" customWidth="1"/>
    <col min="12038" max="12038" width="5.88671875" style="2" customWidth="1"/>
    <col min="12039" max="12039" width="6.109375" style="2" customWidth="1"/>
    <col min="12040" max="12040" width="32.109375" style="2" customWidth="1"/>
    <col min="12041" max="12043" width="7.44140625" style="2" customWidth="1"/>
    <col min="12044" max="12044" width="4.33203125" style="2" customWidth="1"/>
    <col min="12045" max="12045" width="40.109375" style="2" customWidth="1"/>
    <col min="12046" max="12287" width="11.44140625" style="2"/>
    <col min="12288" max="12288" width="14.33203125" style="2" customWidth="1"/>
    <col min="12289" max="12289" width="9.6640625" style="2" customWidth="1"/>
    <col min="12290" max="12290" width="7.5546875" style="2" customWidth="1"/>
    <col min="12291" max="12291" width="6.88671875" style="2" customWidth="1"/>
    <col min="12292" max="12292" width="8.33203125" style="2" customWidth="1"/>
    <col min="12293" max="12293" width="11.88671875" style="2" customWidth="1"/>
    <col min="12294" max="12294" width="5.88671875" style="2" customWidth="1"/>
    <col min="12295" max="12295" width="6.109375" style="2" customWidth="1"/>
    <col min="12296" max="12296" width="32.109375" style="2" customWidth="1"/>
    <col min="12297" max="12299" width="7.44140625" style="2" customWidth="1"/>
    <col min="12300" max="12300" width="4.33203125" style="2" customWidth="1"/>
    <col min="12301" max="12301" width="40.109375" style="2" customWidth="1"/>
    <col min="12302" max="12543" width="11.44140625" style="2"/>
    <col min="12544" max="12544" width="14.33203125" style="2" customWidth="1"/>
    <col min="12545" max="12545" width="9.6640625" style="2" customWidth="1"/>
    <col min="12546" max="12546" width="7.5546875" style="2" customWidth="1"/>
    <col min="12547" max="12547" width="6.88671875" style="2" customWidth="1"/>
    <col min="12548" max="12548" width="8.33203125" style="2" customWidth="1"/>
    <col min="12549" max="12549" width="11.88671875" style="2" customWidth="1"/>
    <col min="12550" max="12550" width="5.88671875" style="2" customWidth="1"/>
    <col min="12551" max="12551" width="6.109375" style="2" customWidth="1"/>
    <col min="12552" max="12552" width="32.109375" style="2" customWidth="1"/>
    <col min="12553" max="12555" width="7.44140625" style="2" customWidth="1"/>
    <col min="12556" max="12556" width="4.33203125" style="2" customWidth="1"/>
    <col min="12557" max="12557" width="40.109375" style="2" customWidth="1"/>
    <col min="12558" max="12799" width="11.44140625" style="2"/>
    <col min="12800" max="12800" width="14.33203125" style="2" customWidth="1"/>
    <col min="12801" max="12801" width="9.6640625" style="2" customWidth="1"/>
    <col min="12802" max="12802" width="7.5546875" style="2" customWidth="1"/>
    <col min="12803" max="12803" width="6.88671875" style="2" customWidth="1"/>
    <col min="12804" max="12804" width="8.33203125" style="2" customWidth="1"/>
    <col min="12805" max="12805" width="11.88671875" style="2" customWidth="1"/>
    <col min="12806" max="12806" width="5.88671875" style="2" customWidth="1"/>
    <col min="12807" max="12807" width="6.109375" style="2" customWidth="1"/>
    <col min="12808" max="12808" width="32.109375" style="2" customWidth="1"/>
    <col min="12809" max="12811" width="7.44140625" style="2" customWidth="1"/>
    <col min="12812" max="12812" width="4.33203125" style="2" customWidth="1"/>
    <col min="12813" max="12813" width="40.109375" style="2" customWidth="1"/>
    <col min="12814" max="13055" width="11.44140625" style="2"/>
    <col min="13056" max="13056" width="14.33203125" style="2" customWidth="1"/>
    <col min="13057" max="13057" width="9.6640625" style="2" customWidth="1"/>
    <col min="13058" max="13058" width="7.5546875" style="2" customWidth="1"/>
    <col min="13059" max="13059" width="6.88671875" style="2" customWidth="1"/>
    <col min="13060" max="13060" width="8.33203125" style="2" customWidth="1"/>
    <col min="13061" max="13061" width="11.88671875" style="2" customWidth="1"/>
    <col min="13062" max="13062" width="5.88671875" style="2" customWidth="1"/>
    <col min="13063" max="13063" width="6.109375" style="2" customWidth="1"/>
    <col min="13064" max="13064" width="32.109375" style="2" customWidth="1"/>
    <col min="13065" max="13067" width="7.44140625" style="2" customWidth="1"/>
    <col min="13068" max="13068" width="4.33203125" style="2" customWidth="1"/>
    <col min="13069" max="13069" width="40.109375" style="2" customWidth="1"/>
    <col min="13070" max="13311" width="11.44140625" style="2"/>
    <col min="13312" max="13312" width="14.33203125" style="2" customWidth="1"/>
    <col min="13313" max="13313" width="9.6640625" style="2" customWidth="1"/>
    <col min="13314" max="13314" width="7.5546875" style="2" customWidth="1"/>
    <col min="13315" max="13315" width="6.88671875" style="2" customWidth="1"/>
    <col min="13316" max="13316" width="8.33203125" style="2" customWidth="1"/>
    <col min="13317" max="13317" width="11.88671875" style="2" customWidth="1"/>
    <col min="13318" max="13318" width="5.88671875" style="2" customWidth="1"/>
    <col min="13319" max="13319" width="6.109375" style="2" customWidth="1"/>
    <col min="13320" max="13320" width="32.109375" style="2" customWidth="1"/>
    <col min="13321" max="13323" width="7.44140625" style="2" customWidth="1"/>
    <col min="13324" max="13324" width="4.33203125" style="2" customWidth="1"/>
    <col min="13325" max="13325" width="40.109375" style="2" customWidth="1"/>
    <col min="13326" max="13567" width="11.44140625" style="2"/>
    <col min="13568" max="13568" width="14.33203125" style="2" customWidth="1"/>
    <col min="13569" max="13569" width="9.6640625" style="2" customWidth="1"/>
    <col min="13570" max="13570" width="7.5546875" style="2" customWidth="1"/>
    <col min="13571" max="13571" width="6.88671875" style="2" customWidth="1"/>
    <col min="13572" max="13572" width="8.33203125" style="2" customWidth="1"/>
    <col min="13573" max="13573" width="11.88671875" style="2" customWidth="1"/>
    <col min="13574" max="13574" width="5.88671875" style="2" customWidth="1"/>
    <col min="13575" max="13575" width="6.109375" style="2" customWidth="1"/>
    <col min="13576" max="13576" width="32.109375" style="2" customWidth="1"/>
    <col min="13577" max="13579" width="7.44140625" style="2" customWidth="1"/>
    <col min="13580" max="13580" width="4.33203125" style="2" customWidth="1"/>
    <col min="13581" max="13581" width="40.109375" style="2" customWidth="1"/>
    <col min="13582" max="13823" width="11.44140625" style="2"/>
    <col min="13824" max="13824" width="14.33203125" style="2" customWidth="1"/>
    <col min="13825" max="13825" width="9.6640625" style="2" customWidth="1"/>
    <col min="13826" max="13826" width="7.5546875" style="2" customWidth="1"/>
    <col min="13827" max="13827" width="6.88671875" style="2" customWidth="1"/>
    <col min="13828" max="13828" width="8.33203125" style="2" customWidth="1"/>
    <col min="13829" max="13829" width="11.88671875" style="2" customWidth="1"/>
    <col min="13830" max="13830" width="5.88671875" style="2" customWidth="1"/>
    <col min="13831" max="13831" width="6.109375" style="2" customWidth="1"/>
    <col min="13832" max="13832" width="32.109375" style="2" customWidth="1"/>
    <col min="13833" max="13835" width="7.44140625" style="2" customWidth="1"/>
    <col min="13836" max="13836" width="4.33203125" style="2" customWidth="1"/>
    <col min="13837" max="13837" width="40.109375" style="2" customWidth="1"/>
    <col min="13838" max="14079" width="11.44140625" style="2"/>
    <col min="14080" max="14080" width="14.33203125" style="2" customWidth="1"/>
    <col min="14081" max="14081" width="9.6640625" style="2" customWidth="1"/>
    <col min="14082" max="14082" width="7.5546875" style="2" customWidth="1"/>
    <col min="14083" max="14083" width="6.88671875" style="2" customWidth="1"/>
    <col min="14084" max="14084" width="8.33203125" style="2" customWidth="1"/>
    <col min="14085" max="14085" width="11.88671875" style="2" customWidth="1"/>
    <col min="14086" max="14086" width="5.88671875" style="2" customWidth="1"/>
    <col min="14087" max="14087" width="6.109375" style="2" customWidth="1"/>
    <col min="14088" max="14088" width="32.109375" style="2" customWidth="1"/>
    <col min="14089" max="14091" width="7.44140625" style="2" customWidth="1"/>
    <col min="14092" max="14092" width="4.33203125" style="2" customWidth="1"/>
    <col min="14093" max="14093" width="40.109375" style="2" customWidth="1"/>
    <col min="14094" max="14335" width="11.44140625" style="2"/>
    <col min="14336" max="14336" width="14.33203125" style="2" customWidth="1"/>
    <col min="14337" max="14337" width="9.6640625" style="2" customWidth="1"/>
    <col min="14338" max="14338" width="7.5546875" style="2" customWidth="1"/>
    <col min="14339" max="14339" width="6.88671875" style="2" customWidth="1"/>
    <col min="14340" max="14340" width="8.33203125" style="2" customWidth="1"/>
    <col min="14341" max="14341" width="11.88671875" style="2" customWidth="1"/>
    <col min="14342" max="14342" width="5.88671875" style="2" customWidth="1"/>
    <col min="14343" max="14343" width="6.109375" style="2" customWidth="1"/>
    <col min="14344" max="14344" width="32.109375" style="2" customWidth="1"/>
    <col min="14345" max="14347" width="7.44140625" style="2" customWidth="1"/>
    <col min="14348" max="14348" width="4.33203125" style="2" customWidth="1"/>
    <col min="14349" max="14349" width="40.109375" style="2" customWidth="1"/>
    <col min="14350" max="14591" width="11.44140625" style="2"/>
    <col min="14592" max="14592" width="14.33203125" style="2" customWidth="1"/>
    <col min="14593" max="14593" width="9.6640625" style="2" customWidth="1"/>
    <col min="14594" max="14594" width="7.5546875" style="2" customWidth="1"/>
    <col min="14595" max="14595" width="6.88671875" style="2" customWidth="1"/>
    <col min="14596" max="14596" width="8.33203125" style="2" customWidth="1"/>
    <col min="14597" max="14597" width="11.88671875" style="2" customWidth="1"/>
    <col min="14598" max="14598" width="5.88671875" style="2" customWidth="1"/>
    <col min="14599" max="14599" width="6.109375" style="2" customWidth="1"/>
    <col min="14600" max="14600" width="32.109375" style="2" customWidth="1"/>
    <col min="14601" max="14603" width="7.44140625" style="2" customWidth="1"/>
    <col min="14604" max="14604" width="4.33203125" style="2" customWidth="1"/>
    <col min="14605" max="14605" width="40.109375" style="2" customWidth="1"/>
    <col min="14606" max="14847" width="11.44140625" style="2"/>
    <col min="14848" max="14848" width="14.33203125" style="2" customWidth="1"/>
    <col min="14849" max="14849" width="9.6640625" style="2" customWidth="1"/>
    <col min="14850" max="14850" width="7.5546875" style="2" customWidth="1"/>
    <col min="14851" max="14851" width="6.88671875" style="2" customWidth="1"/>
    <col min="14852" max="14852" width="8.33203125" style="2" customWidth="1"/>
    <col min="14853" max="14853" width="11.88671875" style="2" customWidth="1"/>
    <col min="14854" max="14854" width="5.88671875" style="2" customWidth="1"/>
    <col min="14855" max="14855" width="6.109375" style="2" customWidth="1"/>
    <col min="14856" max="14856" width="32.109375" style="2" customWidth="1"/>
    <col min="14857" max="14859" width="7.44140625" style="2" customWidth="1"/>
    <col min="14860" max="14860" width="4.33203125" style="2" customWidth="1"/>
    <col min="14861" max="14861" width="40.109375" style="2" customWidth="1"/>
    <col min="14862" max="15103" width="11.44140625" style="2"/>
    <col min="15104" max="15104" width="14.33203125" style="2" customWidth="1"/>
    <col min="15105" max="15105" width="9.6640625" style="2" customWidth="1"/>
    <col min="15106" max="15106" width="7.5546875" style="2" customWidth="1"/>
    <col min="15107" max="15107" width="6.88671875" style="2" customWidth="1"/>
    <col min="15108" max="15108" width="8.33203125" style="2" customWidth="1"/>
    <col min="15109" max="15109" width="11.88671875" style="2" customWidth="1"/>
    <col min="15110" max="15110" width="5.88671875" style="2" customWidth="1"/>
    <col min="15111" max="15111" width="6.109375" style="2" customWidth="1"/>
    <col min="15112" max="15112" width="32.109375" style="2" customWidth="1"/>
    <col min="15113" max="15115" width="7.44140625" style="2" customWidth="1"/>
    <col min="15116" max="15116" width="4.33203125" style="2" customWidth="1"/>
    <col min="15117" max="15117" width="40.109375" style="2" customWidth="1"/>
    <col min="15118" max="15359" width="11.44140625" style="2"/>
    <col min="15360" max="15360" width="14.33203125" style="2" customWidth="1"/>
    <col min="15361" max="15361" width="9.6640625" style="2" customWidth="1"/>
    <col min="15362" max="15362" width="7.5546875" style="2" customWidth="1"/>
    <col min="15363" max="15363" width="6.88671875" style="2" customWidth="1"/>
    <col min="15364" max="15364" width="8.33203125" style="2" customWidth="1"/>
    <col min="15365" max="15365" width="11.88671875" style="2" customWidth="1"/>
    <col min="15366" max="15366" width="5.88671875" style="2" customWidth="1"/>
    <col min="15367" max="15367" width="6.109375" style="2" customWidth="1"/>
    <col min="15368" max="15368" width="32.109375" style="2" customWidth="1"/>
    <col min="15369" max="15371" width="7.44140625" style="2" customWidth="1"/>
    <col min="15372" max="15372" width="4.33203125" style="2" customWidth="1"/>
    <col min="15373" max="15373" width="40.109375" style="2" customWidth="1"/>
    <col min="15374" max="15615" width="11.44140625" style="2"/>
    <col min="15616" max="15616" width="14.33203125" style="2" customWidth="1"/>
    <col min="15617" max="15617" width="9.6640625" style="2" customWidth="1"/>
    <col min="15618" max="15618" width="7.5546875" style="2" customWidth="1"/>
    <col min="15619" max="15619" width="6.88671875" style="2" customWidth="1"/>
    <col min="15620" max="15620" width="8.33203125" style="2" customWidth="1"/>
    <col min="15621" max="15621" width="11.88671875" style="2" customWidth="1"/>
    <col min="15622" max="15622" width="5.88671875" style="2" customWidth="1"/>
    <col min="15623" max="15623" width="6.109375" style="2" customWidth="1"/>
    <col min="15624" max="15624" width="32.109375" style="2" customWidth="1"/>
    <col min="15625" max="15627" width="7.44140625" style="2" customWidth="1"/>
    <col min="15628" max="15628" width="4.33203125" style="2" customWidth="1"/>
    <col min="15629" max="15629" width="40.109375" style="2" customWidth="1"/>
    <col min="15630" max="15871" width="11.44140625" style="2"/>
    <col min="15872" max="15872" width="14.33203125" style="2" customWidth="1"/>
    <col min="15873" max="15873" width="9.6640625" style="2" customWidth="1"/>
    <col min="15874" max="15874" width="7.5546875" style="2" customWidth="1"/>
    <col min="15875" max="15875" width="6.88671875" style="2" customWidth="1"/>
    <col min="15876" max="15876" width="8.33203125" style="2" customWidth="1"/>
    <col min="15877" max="15877" width="11.88671875" style="2" customWidth="1"/>
    <col min="15878" max="15878" width="5.88671875" style="2" customWidth="1"/>
    <col min="15879" max="15879" width="6.109375" style="2" customWidth="1"/>
    <col min="15880" max="15880" width="32.109375" style="2" customWidth="1"/>
    <col min="15881" max="15883" width="7.44140625" style="2" customWidth="1"/>
    <col min="15884" max="15884" width="4.33203125" style="2" customWidth="1"/>
    <col min="15885" max="15885" width="40.109375" style="2" customWidth="1"/>
    <col min="15886" max="16127" width="11.44140625" style="2"/>
    <col min="16128" max="16128" width="14.33203125" style="2" customWidth="1"/>
    <col min="16129" max="16129" width="9.6640625" style="2" customWidth="1"/>
    <col min="16130" max="16130" width="7.5546875" style="2" customWidth="1"/>
    <col min="16131" max="16131" width="6.88671875" style="2" customWidth="1"/>
    <col min="16132" max="16132" width="8.33203125" style="2" customWidth="1"/>
    <col min="16133" max="16133" width="11.88671875" style="2" customWidth="1"/>
    <col min="16134" max="16134" width="5.88671875" style="2" customWidth="1"/>
    <col min="16135" max="16135" width="6.109375" style="2" customWidth="1"/>
    <col min="16136" max="16136" width="32.109375" style="2" customWidth="1"/>
    <col min="16137" max="16139" width="7.44140625" style="2" customWidth="1"/>
    <col min="16140" max="16140" width="4.33203125" style="2" customWidth="1"/>
    <col min="16141" max="16141" width="40.109375" style="2" customWidth="1"/>
    <col min="16142" max="16384" width="11.44140625" style="2"/>
  </cols>
  <sheetData>
    <row r="1" spans="1:19" s="13" customFormat="1" ht="41.25" customHeight="1" thickBot="1" x14ac:dyDescent="0.35">
      <c r="A1" s="14" t="s">
        <v>16</v>
      </c>
      <c r="B1" s="14" t="s">
        <v>15</v>
      </c>
      <c r="C1" s="46" t="s">
        <v>1</v>
      </c>
      <c r="D1" s="46" t="s">
        <v>2</v>
      </c>
      <c r="E1" s="14" t="s">
        <v>14</v>
      </c>
      <c r="F1" s="15" t="s">
        <v>13</v>
      </c>
      <c r="G1" s="15" t="s">
        <v>12</v>
      </c>
      <c r="H1" s="15" t="s">
        <v>11</v>
      </c>
      <c r="I1" s="14" t="s">
        <v>10</v>
      </c>
      <c r="J1" s="14" t="s">
        <v>9</v>
      </c>
      <c r="K1" s="15" t="s">
        <v>8</v>
      </c>
      <c r="L1" s="15" t="s">
        <v>7</v>
      </c>
      <c r="M1" s="14" t="s">
        <v>6</v>
      </c>
      <c r="N1" s="63" t="s">
        <v>5</v>
      </c>
      <c r="O1" s="66" t="s">
        <v>30</v>
      </c>
      <c r="P1" s="64"/>
      <c r="Q1" s="65"/>
      <c r="R1" s="60" t="s">
        <v>19</v>
      </c>
      <c r="S1" s="53" t="s">
        <v>33</v>
      </c>
    </row>
    <row r="2" spans="1:19" x14ac:dyDescent="0.3">
      <c r="A2" s="12" t="s">
        <v>4</v>
      </c>
      <c r="B2" s="11">
        <v>44263</v>
      </c>
      <c r="C2" s="47">
        <v>0.375</v>
      </c>
      <c r="D2" s="47">
        <v>0.38541666666666669</v>
      </c>
      <c r="E2" s="10">
        <v>0</v>
      </c>
      <c r="F2" s="19">
        <v>0.25</v>
      </c>
      <c r="G2" s="20"/>
      <c r="H2" s="20"/>
      <c r="I2" s="6" t="s">
        <v>34</v>
      </c>
      <c r="J2" s="10">
        <v>0.25</v>
      </c>
      <c r="K2" s="10"/>
      <c r="L2" s="10"/>
      <c r="M2" s="10"/>
      <c r="N2" s="9" t="s">
        <v>35</v>
      </c>
      <c r="S2" s="54"/>
    </row>
    <row r="3" spans="1:19" x14ac:dyDescent="0.3">
      <c r="A3" s="3"/>
      <c r="B3" s="7"/>
      <c r="C3" s="48"/>
      <c r="D3" s="48"/>
      <c r="E3" s="5"/>
      <c r="F3" s="21"/>
      <c r="G3" s="22"/>
      <c r="H3" s="22"/>
      <c r="I3" s="6"/>
      <c r="J3" s="5"/>
      <c r="K3" s="5"/>
      <c r="L3" s="5"/>
      <c r="M3" s="5"/>
      <c r="N3" s="4"/>
      <c r="O3" s="2" t="str">
        <f t="shared" ref="O3:O66" si="0">IF(LEN(N3)&gt;0,40-LEN(N3),"")</f>
        <v/>
      </c>
      <c r="S3" s="54"/>
    </row>
    <row r="4" spans="1:19" x14ac:dyDescent="0.3">
      <c r="A4" s="3"/>
      <c r="B4" s="7"/>
      <c r="C4" s="48"/>
      <c r="D4" s="48"/>
      <c r="E4" s="5"/>
      <c r="F4" s="21"/>
      <c r="G4" s="22"/>
      <c r="H4" s="22"/>
      <c r="I4" s="6"/>
      <c r="J4" s="5"/>
      <c r="K4" s="5"/>
      <c r="L4" s="5"/>
      <c r="M4" s="5"/>
      <c r="N4" s="4"/>
      <c r="O4" s="2" t="str">
        <f t="shared" si="0"/>
        <v/>
      </c>
      <c r="S4" s="54"/>
    </row>
    <row r="5" spans="1:19" x14ac:dyDescent="0.3">
      <c r="A5" s="3"/>
      <c r="B5" s="7"/>
      <c r="C5" s="48"/>
      <c r="D5" s="48"/>
      <c r="E5" s="5"/>
      <c r="F5" s="21"/>
      <c r="G5" s="22"/>
      <c r="H5" s="22"/>
      <c r="I5" s="6"/>
      <c r="J5" s="5"/>
      <c r="K5" s="5"/>
      <c r="L5" s="5"/>
      <c r="M5" s="5"/>
      <c r="N5" s="4"/>
      <c r="O5" s="2" t="str">
        <f t="shared" si="0"/>
        <v/>
      </c>
      <c r="S5" s="54"/>
    </row>
    <row r="6" spans="1:19" x14ac:dyDescent="0.3">
      <c r="A6" s="3"/>
      <c r="B6" s="7"/>
      <c r="C6" s="48"/>
      <c r="D6" s="48"/>
      <c r="E6" s="5"/>
      <c r="F6" s="21"/>
      <c r="G6" s="22"/>
      <c r="H6" s="22"/>
      <c r="I6" s="6"/>
      <c r="J6" s="5"/>
      <c r="K6" s="5"/>
      <c r="L6" s="5"/>
      <c r="M6" s="5"/>
      <c r="N6" s="4"/>
      <c r="O6" s="2" t="str">
        <f t="shared" si="0"/>
        <v/>
      </c>
      <c r="S6" s="54"/>
    </row>
    <row r="7" spans="1:19" x14ac:dyDescent="0.3">
      <c r="A7" s="3"/>
      <c r="B7" s="7"/>
      <c r="C7" s="48"/>
      <c r="D7" s="48"/>
      <c r="E7" s="5"/>
      <c r="F7" s="21"/>
      <c r="G7" s="22"/>
      <c r="H7" s="22"/>
      <c r="I7" s="6"/>
      <c r="J7" s="5"/>
      <c r="K7" s="5"/>
      <c r="L7" s="5"/>
      <c r="M7" s="5"/>
      <c r="N7" s="4"/>
      <c r="O7" s="2" t="str">
        <f t="shared" si="0"/>
        <v/>
      </c>
      <c r="S7" s="54"/>
    </row>
    <row r="8" spans="1:19" x14ac:dyDescent="0.3">
      <c r="A8" s="3"/>
      <c r="B8" s="7"/>
      <c r="C8" s="48"/>
      <c r="D8" s="48"/>
      <c r="E8" s="5"/>
      <c r="F8" s="21"/>
      <c r="G8" s="22"/>
      <c r="H8" s="22"/>
      <c r="I8" s="6"/>
      <c r="J8" s="5"/>
      <c r="K8" s="5"/>
      <c r="L8" s="5"/>
      <c r="M8" s="5"/>
      <c r="N8" s="4"/>
      <c r="O8" s="2" t="str">
        <f t="shared" si="0"/>
        <v/>
      </c>
      <c r="S8" s="54"/>
    </row>
    <row r="9" spans="1:19" x14ac:dyDescent="0.3">
      <c r="A9" s="3"/>
      <c r="B9" s="7"/>
      <c r="C9" s="48"/>
      <c r="D9" s="48"/>
      <c r="E9" s="5"/>
      <c r="F9" s="21"/>
      <c r="G9" s="22"/>
      <c r="H9" s="22"/>
      <c r="I9" s="6"/>
      <c r="J9" s="5"/>
      <c r="K9" s="5"/>
      <c r="L9" s="5"/>
      <c r="M9" s="5"/>
      <c r="N9" s="4"/>
      <c r="O9" s="2" t="str">
        <f t="shared" si="0"/>
        <v/>
      </c>
      <c r="S9" s="54"/>
    </row>
    <row r="10" spans="1:19" x14ac:dyDescent="0.3">
      <c r="A10" s="3"/>
      <c r="B10" s="7"/>
      <c r="C10" s="48"/>
      <c r="D10" s="48"/>
      <c r="E10" s="5"/>
      <c r="F10" s="21"/>
      <c r="G10" s="23"/>
      <c r="H10" s="23"/>
      <c r="I10" s="6"/>
      <c r="J10" s="5"/>
      <c r="K10" s="5"/>
      <c r="L10" s="5"/>
      <c r="M10" s="5"/>
      <c r="N10" s="4"/>
      <c r="O10" s="2" t="str">
        <f t="shared" si="0"/>
        <v/>
      </c>
      <c r="S10" s="54"/>
    </row>
    <row r="11" spans="1:19" x14ac:dyDescent="0.3">
      <c r="A11" s="3"/>
      <c r="B11" s="7"/>
      <c r="C11" s="48"/>
      <c r="D11" s="48"/>
      <c r="E11" s="5"/>
      <c r="F11" s="21"/>
      <c r="G11" s="23"/>
      <c r="H11" s="23"/>
      <c r="I11" s="6"/>
      <c r="J11" s="5"/>
      <c r="K11" s="5"/>
      <c r="L11" s="5"/>
      <c r="M11" s="5"/>
      <c r="N11" s="4"/>
      <c r="O11" s="2" t="str">
        <f t="shared" si="0"/>
        <v/>
      </c>
      <c r="S11" s="54"/>
    </row>
    <row r="12" spans="1:19" x14ac:dyDescent="0.3">
      <c r="A12" s="3"/>
      <c r="B12" s="7"/>
      <c r="C12" s="48"/>
      <c r="D12" s="48"/>
      <c r="E12" s="5"/>
      <c r="F12" s="21"/>
      <c r="G12" s="23"/>
      <c r="H12" s="23"/>
      <c r="I12" s="6"/>
      <c r="J12" s="5"/>
      <c r="K12" s="5"/>
      <c r="L12" s="5"/>
      <c r="M12" s="5"/>
      <c r="N12" s="4"/>
      <c r="O12" s="2" t="str">
        <f t="shared" si="0"/>
        <v/>
      </c>
      <c r="S12" s="54"/>
    </row>
    <row r="13" spans="1:19" x14ac:dyDescent="0.3">
      <c r="A13" s="3"/>
      <c r="B13" s="7"/>
      <c r="C13" s="48"/>
      <c r="D13" s="48"/>
      <c r="E13" s="18"/>
      <c r="F13" s="21"/>
      <c r="G13" s="23"/>
      <c r="H13" s="23"/>
      <c r="I13" s="6"/>
      <c r="J13" s="5"/>
      <c r="K13" s="5"/>
      <c r="L13" s="5"/>
      <c r="M13" s="5"/>
      <c r="N13" s="43"/>
      <c r="O13" s="2" t="str">
        <f t="shared" si="0"/>
        <v/>
      </c>
      <c r="S13" s="54"/>
    </row>
    <row r="14" spans="1:19" x14ac:dyDescent="0.3">
      <c r="A14" s="3"/>
      <c r="B14" s="7"/>
      <c r="C14" s="48"/>
      <c r="D14" s="48"/>
      <c r="E14" s="18"/>
      <c r="F14" s="21"/>
      <c r="G14" s="23"/>
      <c r="H14" s="23"/>
      <c r="I14" s="6"/>
      <c r="J14" s="5"/>
      <c r="K14" s="5"/>
      <c r="L14" s="5"/>
      <c r="M14" s="5"/>
      <c r="N14" s="4"/>
      <c r="O14" s="2" t="str">
        <f t="shared" si="0"/>
        <v/>
      </c>
      <c r="S14" s="54"/>
    </row>
    <row r="15" spans="1:19" x14ac:dyDescent="0.3">
      <c r="A15" s="3"/>
      <c r="B15" s="7"/>
      <c r="C15" s="48"/>
      <c r="D15" s="48"/>
      <c r="E15" s="18"/>
      <c r="F15" s="21"/>
      <c r="G15" s="23"/>
      <c r="H15" s="23"/>
      <c r="I15" s="6"/>
      <c r="J15" s="5"/>
      <c r="K15" s="5"/>
      <c r="L15" s="5"/>
      <c r="M15" s="5"/>
      <c r="N15" s="4"/>
      <c r="O15" s="2" t="str">
        <f t="shared" si="0"/>
        <v/>
      </c>
      <c r="S15" s="54"/>
    </row>
    <row r="16" spans="1:19" x14ac:dyDescent="0.3">
      <c r="A16" s="3"/>
      <c r="B16" s="7"/>
      <c r="C16" s="48"/>
      <c r="D16" s="48"/>
      <c r="E16" s="18"/>
      <c r="F16" s="21"/>
      <c r="G16" s="23"/>
      <c r="H16" s="23"/>
      <c r="I16" s="6"/>
      <c r="J16" s="5"/>
      <c r="K16" s="5"/>
      <c r="L16" s="5"/>
      <c r="M16" s="5"/>
      <c r="N16" s="4"/>
      <c r="O16" s="2" t="str">
        <f t="shared" si="0"/>
        <v/>
      </c>
      <c r="S16" s="54"/>
    </row>
    <row r="17" spans="1:19" x14ac:dyDescent="0.3">
      <c r="A17" s="3"/>
      <c r="B17" s="7"/>
      <c r="C17" s="48"/>
      <c r="D17" s="48"/>
      <c r="E17" s="18"/>
      <c r="F17" s="21"/>
      <c r="G17" s="23"/>
      <c r="H17" s="23"/>
      <c r="I17" s="6"/>
      <c r="J17" s="5"/>
      <c r="K17" s="5"/>
      <c r="L17" s="5"/>
      <c r="M17" s="5"/>
      <c r="N17" s="4"/>
      <c r="O17" s="2" t="str">
        <f t="shared" si="0"/>
        <v/>
      </c>
      <c r="S17" s="54"/>
    </row>
    <row r="18" spans="1:19" x14ac:dyDescent="0.3">
      <c r="A18" s="3"/>
      <c r="B18" s="7"/>
      <c r="C18" s="48"/>
      <c r="D18" s="48"/>
      <c r="E18" s="18"/>
      <c r="F18" s="21"/>
      <c r="G18" s="24"/>
      <c r="H18" s="24"/>
      <c r="I18" s="6"/>
      <c r="J18" s="5"/>
      <c r="K18" s="5"/>
      <c r="L18" s="5"/>
      <c r="M18" s="5"/>
      <c r="N18" s="4"/>
      <c r="O18" s="2" t="str">
        <f t="shared" si="0"/>
        <v/>
      </c>
      <c r="S18" s="54"/>
    </row>
    <row r="19" spans="1:19" x14ac:dyDescent="0.3">
      <c r="A19" s="3"/>
      <c r="B19" s="7"/>
      <c r="C19" s="48"/>
      <c r="D19" s="48"/>
      <c r="E19" s="18"/>
      <c r="F19" s="21"/>
      <c r="G19" s="23"/>
      <c r="H19" s="23"/>
      <c r="I19" s="6"/>
      <c r="J19" s="6"/>
      <c r="K19" s="6"/>
      <c r="L19" s="6"/>
      <c r="M19" s="6"/>
      <c r="N19" s="8"/>
      <c r="O19" s="2" t="str">
        <f t="shared" si="0"/>
        <v/>
      </c>
      <c r="S19" s="54"/>
    </row>
    <row r="20" spans="1:19" x14ac:dyDescent="0.3">
      <c r="A20" s="3"/>
      <c r="B20" s="7"/>
      <c r="C20" s="48"/>
      <c r="D20" s="48"/>
      <c r="E20" s="18"/>
      <c r="F20" s="21"/>
      <c r="G20" s="23"/>
      <c r="H20" s="23"/>
      <c r="I20" s="6"/>
      <c r="J20" s="6"/>
      <c r="K20" s="6"/>
      <c r="L20" s="6"/>
      <c r="M20" s="6"/>
      <c r="N20" s="8"/>
      <c r="O20" s="2" t="str">
        <f t="shared" si="0"/>
        <v/>
      </c>
      <c r="S20" s="54"/>
    </row>
    <row r="21" spans="1:19" x14ac:dyDescent="0.3">
      <c r="A21" s="3"/>
      <c r="B21" s="7"/>
      <c r="C21" s="48"/>
      <c r="D21" s="49"/>
      <c r="E21" s="18"/>
      <c r="F21" s="21"/>
      <c r="G21" s="23"/>
      <c r="H21" s="23"/>
      <c r="I21" s="6"/>
      <c r="J21" s="6"/>
      <c r="K21" s="6"/>
      <c r="L21" s="6"/>
      <c r="M21" s="6"/>
      <c r="N21" s="8"/>
      <c r="O21" s="2" t="str">
        <f t="shared" si="0"/>
        <v/>
      </c>
      <c r="S21" s="54"/>
    </row>
    <row r="22" spans="1:19" x14ac:dyDescent="0.3">
      <c r="A22" s="3"/>
      <c r="B22" s="7"/>
      <c r="C22" s="49"/>
      <c r="D22" s="49"/>
      <c r="E22" s="18"/>
      <c r="F22" s="21"/>
      <c r="G22" s="23"/>
      <c r="H22" s="23"/>
      <c r="I22" s="6"/>
      <c r="J22" s="6"/>
      <c r="K22" s="6"/>
      <c r="L22" s="6"/>
      <c r="M22" s="6"/>
      <c r="N22" s="8"/>
      <c r="O22" s="2" t="str">
        <f t="shared" si="0"/>
        <v/>
      </c>
      <c r="S22" s="54"/>
    </row>
    <row r="23" spans="1:19" x14ac:dyDescent="0.3">
      <c r="A23" s="3"/>
      <c r="B23" s="7"/>
      <c r="C23" s="49"/>
      <c r="D23" s="49"/>
      <c r="E23" s="18"/>
      <c r="F23" s="21"/>
      <c r="G23" s="23"/>
      <c r="H23" s="23"/>
      <c r="I23" s="6"/>
      <c r="J23" s="6"/>
      <c r="K23" s="6"/>
      <c r="L23" s="6"/>
      <c r="M23" s="6"/>
      <c r="N23" s="8"/>
      <c r="O23" s="2" t="str">
        <f t="shared" si="0"/>
        <v/>
      </c>
      <c r="S23" s="54"/>
    </row>
    <row r="24" spans="1:19" x14ac:dyDescent="0.3">
      <c r="A24" s="3"/>
      <c r="B24" s="7"/>
      <c r="C24" s="49"/>
      <c r="D24" s="49"/>
      <c r="E24" s="18"/>
      <c r="F24" s="21"/>
      <c r="G24" s="23"/>
      <c r="H24" s="23"/>
      <c r="I24" s="6"/>
      <c r="J24" s="6"/>
      <c r="K24" s="6"/>
      <c r="L24" s="6"/>
      <c r="M24" s="6"/>
      <c r="N24" s="8"/>
      <c r="O24" s="2" t="str">
        <f t="shared" si="0"/>
        <v/>
      </c>
      <c r="S24" s="54"/>
    </row>
    <row r="25" spans="1:19" x14ac:dyDescent="0.3">
      <c r="A25" s="3"/>
      <c r="B25" s="7"/>
      <c r="C25" s="49"/>
      <c r="D25" s="49"/>
      <c r="E25" s="18"/>
      <c r="F25" s="21"/>
      <c r="G25" s="23"/>
      <c r="H25" s="23"/>
      <c r="I25" s="6"/>
      <c r="J25" s="6"/>
      <c r="K25" s="6"/>
      <c r="L25" s="6"/>
      <c r="M25" s="6"/>
      <c r="N25" s="8"/>
      <c r="O25" s="2" t="str">
        <f t="shared" si="0"/>
        <v/>
      </c>
      <c r="S25" s="54"/>
    </row>
    <row r="26" spans="1:19" x14ac:dyDescent="0.3">
      <c r="A26" s="3"/>
      <c r="B26" s="7"/>
      <c r="C26" s="49"/>
      <c r="D26" s="49"/>
      <c r="E26" s="18"/>
      <c r="F26" s="21"/>
      <c r="G26" s="23"/>
      <c r="H26" s="23"/>
      <c r="I26" s="6"/>
      <c r="J26" s="6"/>
      <c r="K26" s="6"/>
      <c r="L26" s="6"/>
      <c r="M26" s="6"/>
      <c r="N26" s="8"/>
      <c r="O26" s="2" t="str">
        <f t="shared" si="0"/>
        <v/>
      </c>
      <c r="S26" s="54"/>
    </row>
    <row r="27" spans="1:19" x14ac:dyDescent="0.3">
      <c r="A27" s="3"/>
      <c r="B27" s="7"/>
      <c r="C27" s="49"/>
      <c r="D27" s="49"/>
      <c r="E27" s="18"/>
      <c r="F27" s="21"/>
      <c r="G27" s="23"/>
      <c r="H27" s="23"/>
      <c r="I27" s="6"/>
      <c r="J27" s="6"/>
      <c r="K27" s="6"/>
      <c r="L27" s="6"/>
      <c r="M27" s="6"/>
      <c r="N27" s="8"/>
      <c r="O27" s="2" t="str">
        <f t="shared" si="0"/>
        <v/>
      </c>
      <c r="S27" s="54"/>
    </row>
    <row r="28" spans="1:19" x14ac:dyDescent="0.3">
      <c r="A28" s="3"/>
      <c r="B28" s="7"/>
      <c r="C28" s="49"/>
      <c r="D28" s="49"/>
      <c r="E28" s="18"/>
      <c r="F28" s="21"/>
      <c r="G28" s="23"/>
      <c r="H28" s="23"/>
      <c r="I28" s="6"/>
      <c r="J28" s="6"/>
      <c r="K28" s="6"/>
      <c r="L28" s="6"/>
      <c r="M28" s="6"/>
      <c r="N28" s="8"/>
      <c r="O28" s="2" t="str">
        <f t="shared" si="0"/>
        <v/>
      </c>
      <c r="S28" s="54"/>
    </row>
    <row r="29" spans="1:19" x14ac:dyDescent="0.3">
      <c r="A29" s="3"/>
      <c r="B29" s="7"/>
      <c r="C29" s="49"/>
      <c r="D29" s="49"/>
      <c r="E29" s="18"/>
      <c r="F29" s="21"/>
      <c r="G29" s="23"/>
      <c r="H29" s="23"/>
      <c r="I29" s="6"/>
      <c r="J29" s="6"/>
      <c r="K29" s="6"/>
      <c r="L29" s="6"/>
      <c r="M29" s="6"/>
      <c r="N29" s="8"/>
      <c r="O29" s="2" t="str">
        <f t="shared" si="0"/>
        <v/>
      </c>
      <c r="S29" s="54"/>
    </row>
    <row r="30" spans="1:19" x14ac:dyDescent="0.3">
      <c r="A30" s="3"/>
      <c r="B30" s="7"/>
      <c r="C30" s="49"/>
      <c r="D30" s="49"/>
      <c r="E30" s="18"/>
      <c r="F30" s="21"/>
      <c r="G30" s="23"/>
      <c r="H30" s="23"/>
      <c r="I30" s="6"/>
      <c r="J30" s="6"/>
      <c r="K30" s="6"/>
      <c r="L30" s="6"/>
      <c r="M30" s="6"/>
      <c r="N30" s="8"/>
      <c r="O30" s="2" t="str">
        <f t="shared" si="0"/>
        <v/>
      </c>
      <c r="S30" s="54"/>
    </row>
    <row r="31" spans="1:19" x14ac:dyDescent="0.3">
      <c r="A31" s="3"/>
      <c r="B31" s="7"/>
      <c r="C31" s="49"/>
      <c r="D31" s="49"/>
      <c r="E31" s="18"/>
      <c r="F31" s="21"/>
      <c r="G31" s="23"/>
      <c r="H31" s="23"/>
      <c r="I31" s="6"/>
      <c r="J31" s="6"/>
      <c r="K31" s="6"/>
      <c r="L31" s="6"/>
      <c r="M31" s="6"/>
      <c r="N31" s="8"/>
      <c r="O31" s="2" t="str">
        <f t="shared" si="0"/>
        <v/>
      </c>
      <c r="S31" s="54"/>
    </row>
    <row r="32" spans="1:19" x14ac:dyDescent="0.3">
      <c r="A32" s="3"/>
      <c r="B32" s="7"/>
      <c r="C32" s="49"/>
      <c r="D32" s="49"/>
      <c r="E32" s="18"/>
      <c r="F32" s="21"/>
      <c r="G32" s="23"/>
      <c r="H32" s="23"/>
      <c r="I32" s="6"/>
      <c r="J32" s="6"/>
      <c r="K32" s="6"/>
      <c r="L32" s="6"/>
      <c r="M32" s="6"/>
      <c r="N32" s="8"/>
      <c r="O32" s="2" t="str">
        <f t="shared" si="0"/>
        <v/>
      </c>
      <c r="S32" s="54"/>
    </row>
    <row r="33" spans="1:19" x14ac:dyDescent="0.3">
      <c r="A33" s="3"/>
      <c r="B33" s="7"/>
      <c r="C33" s="49"/>
      <c r="D33" s="49"/>
      <c r="E33" s="18"/>
      <c r="F33" s="21"/>
      <c r="G33" s="23"/>
      <c r="H33" s="23"/>
      <c r="I33" s="6"/>
      <c r="J33" s="6"/>
      <c r="K33" s="6"/>
      <c r="L33" s="6"/>
      <c r="M33" s="6"/>
      <c r="N33" s="8"/>
      <c r="O33" s="2" t="str">
        <f t="shared" si="0"/>
        <v/>
      </c>
      <c r="S33" s="54"/>
    </row>
    <row r="34" spans="1:19" x14ac:dyDescent="0.3">
      <c r="A34" s="3"/>
      <c r="B34" s="7"/>
      <c r="C34" s="49"/>
      <c r="D34" s="49"/>
      <c r="E34" s="18"/>
      <c r="F34" s="21"/>
      <c r="G34" s="23"/>
      <c r="H34" s="23"/>
      <c r="I34" s="6"/>
      <c r="J34" s="6"/>
      <c r="K34" s="6"/>
      <c r="L34" s="6"/>
      <c r="M34" s="6"/>
      <c r="N34" s="8"/>
      <c r="O34" s="2" t="str">
        <f t="shared" si="0"/>
        <v/>
      </c>
      <c r="S34" s="54"/>
    </row>
    <row r="35" spans="1:19" x14ac:dyDescent="0.3">
      <c r="A35" s="3"/>
      <c r="B35" s="7"/>
      <c r="C35" s="49"/>
      <c r="D35" s="49"/>
      <c r="E35" s="18"/>
      <c r="F35" s="21"/>
      <c r="G35" s="23"/>
      <c r="H35" s="23"/>
      <c r="I35" s="6"/>
      <c r="J35" s="6"/>
      <c r="K35" s="6"/>
      <c r="L35" s="6"/>
      <c r="M35" s="6"/>
      <c r="N35" s="8"/>
      <c r="O35" s="2" t="str">
        <f t="shared" si="0"/>
        <v/>
      </c>
      <c r="S35" s="54"/>
    </row>
    <row r="36" spans="1:19" x14ac:dyDescent="0.3">
      <c r="A36" s="3"/>
      <c r="B36" s="7"/>
      <c r="C36" s="49"/>
      <c r="D36" s="49"/>
      <c r="E36" s="18"/>
      <c r="F36" s="21"/>
      <c r="G36" s="23"/>
      <c r="H36" s="23"/>
      <c r="I36" s="6"/>
      <c r="J36" s="6"/>
      <c r="K36" s="6"/>
      <c r="L36" s="6"/>
      <c r="M36" s="6"/>
      <c r="N36" s="8"/>
      <c r="O36" s="2" t="str">
        <f t="shared" si="0"/>
        <v/>
      </c>
      <c r="S36" s="54"/>
    </row>
    <row r="37" spans="1:19" x14ac:dyDescent="0.3">
      <c r="A37" s="3"/>
      <c r="B37" s="7"/>
      <c r="C37" s="49"/>
      <c r="D37" s="49"/>
      <c r="E37" s="18"/>
      <c r="F37" s="21"/>
      <c r="G37" s="23"/>
      <c r="H37" s="23"/>
      <c r="I37" s="6"/>
      <c r="J37" s="6"/>
      <c r="K37" s="6"/>
      <c r="L37" s="6"/>
      <c r="M37" s="6"/>
      <c r="N37" s="8"/>
      <c r="O37" s="2" t="str">
        <f t="shared" si="0"/>
        <v/>
      </c>
      <c r="S37" s="54"/>
    </row>
    <row r="38" spans="1:19" x14ac:dyDescent="0.3">
      <c r="A38" s="3"/>
      <c r="B38" s="7"/>
      <c r="C38" s="49"/>
      <c r="D38" s="49"/>
      <c r="E38" s="18"/>
      <c r="F38" s="21"/>
      <c r="G38" s="23"/>
      <c r="H38" s="23"/>
      <c r="I38" s="6"/>
      <c r="J38" s="6"/>
      <c r="K38" s="6"/>
      <c r="L38" s="6"/>
      <c r="M38" s="6"/>
      <c r="N38" s="8"/>
      <c r="O38" s="2" t="str">
        <f t="shared" si="0"/>
        <v/>
      </c>
      <c r="S38" s="54"/>
    </row>
    <row r="39" spans="1:19" x14ac:dyDescent="0.3">
      <c r="A39" s="3"/>
      <c r="B39" s="7"/>
      <c r="C39" s="49"/>
      <c r="D39" s="49"/>
      <c r="E39" s="18"/>
      <c r="F39" s="21"/>
      <c r="G39" s="23"/>
      <c r="H39" s="23"/>
      <c r="I39" s="6"/>
      <c r="J39" s="6"/>
      <c r="K39" s="6"/>
      <c r="L39" s="6"/>
      <c r="M39" s="6"/>
      <c r="N39" s="8"/>
      <c r="O39" s="2" t="str">
        <f t="shared" si="0"/>
        <v/>
      </c>
      <c r="S39" s="54"/>
    </row>
    <row r="40" spans="1:19" x14ac:dyDescent="0.3">
      <c r="A40" s="3"/>
      <c r="B40" s="7"/>
      <c r="C40" s="49"/>
      <c r="D40" s="49"/>
      <c r="E40" s="18"/>
      <c r="F40" s="21"/>
      <c r="G40" s="23"/>
      <c r="H40" s="23"/>
      <c r="I40" s="6"/>
      <c r="J40" s="6"/>
      <c r="K40" s="6"/>
      <c r="L40" s="6"/>
      <c r="M40" s="6"/>
      <c r="N40" s="8"/>
      <c r="O40" s="2" t="str">
        <f t="shared" si="0"/>
        <v/>
      </c>
      <c r="S40" s="54"/>
    </row>
    <row r="41" spans="1:19" x14ac:dyDescent="0.3">
      <c r="A41" s="3"/>
      <c r="B41" s="7"/>
      <c r="C41" s="49"/>
      <c r="D41" s="49"/>
      <c r="E41" s="18"/>
      <c r="F41" s="21"/>
      <c r="G41" s="23"/>
      <c r="H41" s="23"/>
      <c r="I41" s="6"/>
      <c r="J41" s="6"/>
      <c r="K41" s="6"/>
      <c r="L41" s="6"/>
      <c r="M41" s="6"/>
      <c r="N41" s="8"/>
      <c r="O41" s="2" t="str">
        <f t="shared" si="0"/>
        <v/>
      </c>
      <c r="S41" s="54"/>
    </row>
    <row r="42" spans="1:19" x14ac:dyDescent="0.3">
      <c r="A42" s="3"/>
      <c r="B42" s="7"/>
      <c r="C42" s="49"/>
      <c r="D42" s="49"/>
      <c r="E42" s="18"/>
      <c r="F42" s="21"/>
      <c r="G42" s="23"/>
      <c r="H42" s="23"/>
      <c r="I42" s="6"/>
      <c r="J42" s="6"/>
      <c r="K42" s="6"/>
      <c r="L42" s="6"/>
      <c r="M42" s="6"/>
      <c r="N42" s="8"/>
      <c r="O42" s="2" t="str">
        <f t="shared" si="0"/>
        <v/>
      </c>
      <c r="S42" s="54"/>
    </row>
    <row r="43" spans="1:19" x14ac:dyDescent="0.3">
      <c r="A43" s="3"/>
      <c r="B43" s="7"/>
      <c r="C43" s="49"/>
      <c r="D43" s="49"/>
      <c r="E43" s="18"/>
      <c r="F43" s="21"/>
      <c r="G43" s="23"/>
      <c r="H43" s="23"/>
      <c r="I43" s="6"/>
      <c r="J43" s="6"/>
      <c r="K43" s="6"/>
      <c r="L43" s="6"/>
      <c r="M43" s="6"/>
      <c r="N43" s="8"/>
      <c r="O43" s="2" t="str">
        <f t="shared" si="0"/>
        <v/>
      </c>
      <c r="S43" s="54"/>
    </row>
    <row r="44" spans="1:19" x14ac:dyDescent="0.3">
      <c r="A44" s="3"/>
      <c r="B44" s="7"/>
      <c r="C44" s="49"/>
      <c r="D44" s="49"/>
      <c r="E44" s="18"/>
      <c r="F44" s="21"/>
      <c r="G44" s="23"/>
      <c r="H44" s="23"/>
      <c r="I44" s="6"/>
      <c r="J44" s="6"/>
      <c r="K44" s="6"/>
      <c r="L44" s="6"/>
      <c r="M44" s="6"/>
      <c r="N44" s="8"/>
      <c r="O44" s="2" t="str">
        <f t="shared" si="0"/>
        <v/>
      </c>
      <c r="S44" s="54"/>
    </row>
    <row r="45" spans="1:19" x14ac:dyDescent="0.3">
      <c r="A45" s="3"/>
      <c r="B45" s="7"/>
      <c r="C45" s="49"/>
      <c r="D45" s="49"/>
      <c r="E45" s="18"/>
      <c r="F45" s="21"/>
      <c r="G45" s="23"/>
      <c r="H45" s="23"/>
      <c r="I45" s="6"/>
      <c r="J45" s="6"/>
      <c r="K45" s="6"/>
      <c r="L45" s="6"/>
      <c r="M45" s="6"/>
      <c r="N45" s="8"/>
      <c r="O45" s="2" t="str">
        <f t="shared" si="0"/>
        <v/>
      </c>
      <c r="S45" s="54"/>
    </row>
    <row r="46" spans="1:19" x14ac:dyDescent="0.3">
      <c r="A46" s="3"/>
      <c r="B46" s="7"/>
      <c r="C46" s="49"/>
      <c r="D46" s="49"/>
      <c r="E46" s="18"/>
      <c r="F46" s="21"/>
      <c r="G46" s="23"/>
      <c r="H46" s="23"/>
      <c r="I46" s="6"/>
      <c r="J46" s="5"/>
      <c r="K46" s="5"/>
      <c r="L46" s="5"/>
      <c r="M46" s="5"/>
      <c r="N46" s="4"/>
      <c r="O46" s="2" t="str">
        <f t="shared" si="0"/>
        <v/>
      </c>
      <c r="S46" s="54"/>
    </row>
    <row r="47" spans="1:19" x14ac:dyDescent="0.3">
      <c r="A47" s="3"/>
      <c r="B47" s="29"/>
      <c r="C47" s="50"/>
      <c r="D47" s="51"/>
      <c r="E47" s="25"/>
      <c r="F47" s="21"/>
      <c r="G47" s="23"/>
      <c r="H47" s="23"/>
      <c r="I47" s="26"/>
      <c r="J47" s="24"/>
      <c r="K47" s="24"/>
      <c r="L47" s="24"/>
      <c r="M47" s="24"/>
      <c r="N47" s="27"/>
      <c r="O47" s="2" t="str">
        <f t="shared" si="0"/>
        <v/>
      </c>
      <c r="S47" s="54"/>
    </row>
    <row r="48" spans="1:19" x14ac:dyDescent="0.3">
      <c r="A48" s="3"/>
      <c r="B48" s="28"/>
      <c r="C48" s="51"/>
      <c r="D48" s="51"/>
      <c r="E48" s="25"/>
      <c r="F48" s="21"/>
      <c r="G48" s="24"/>
      <c r="H48" s="24"/>
      <c r="I48" s="26"/>
      <c r="J48" s="24"/>
      <c r="K48" s="24"/>
      <c r="L48" s="24"/>
      <c r="M48" s="24"/>
      <c r="N48" s="27"/>
      <c r="O48" s="2" t="str">
        <f t="shared" si="0"/>
        <v/>
      </c>
      <c r="S48" s="54"/>
    </row>
    <row r="49" spans="1:19" x14ac:dyDescent="0.3">
      <c r="A49" s="3"/>
      <c r="B49" s="28"/>
      <c r="C49" s="51"/>
      <c r="D49" s="51"/>
      <c r="E49" s="25"/>
      <c r="F49" s="21"/>
      <c r="G49" s="22"/>
      <c r="H49" s="22"/>
      <c r="I49" s="26"/>
      <c r="J49" s="24"/>
      <c r="K49" s="24"/>
      <c r="L49" s="24"/>
      <c r="M49" s="24"/>
      <c r="N49" s="27"/>
      <c r="O49" s="2" t="str">
        <f t="shared" si="0"/>
        <v/>
      </c>
      <c r="S49" s="54"/>
    </row>
    <row r="50" spans="1:19" x14ac:dyDescent="0.3">
      <c r="A50" s="3"/>
      <c r="B50" s="28"/>
      <c r="C50" s="51"/>
      <c r="D50" s="51"/>
      <c r="E50" s="25"/>
      <c r="F50" s="21"/>
      <c r="G50" s="22"/>
      <c r="H50" s="22"/>
      <c r="I50" s="26"/>
      <c r="J50" s="24"/>
      <c r="K50" s="24"/>
      <c r="L50" s="24"/>
      <c r="M50" s="24"/>
      <c r="N50" s="27"/>
      <c r="O50" s="2" t="str">
        <f t="shared" si="0"/>
        <v/>
      </c>
      <c r="S50" s="54"/>
    </row>
    <row r="51" spans="1:19" x14ac:dyDescent="0.3">
      <c r="B51" s="44"/>
      <c r="O51" s="2" t="str">
        <f t="shared" si="0"/>
        <v/>
      </c>
      <c r="S51" s="54"/>
    </row>
    <row r="52" spans="1:19" x14ac:dyDescent="0.3">
      <c r="B52" s="44"/>
      <c r="O52" s="2" t="str">
        <f t="shared" si="0"/>
        <v/>
      </c>
      <c r="S52" s="54"/>
    </row>
    <row r="53" spans="1:19" x14ac:dyDescent="0.3">
      <c r="B53" s="44"/>
      <c r="O53" s="2" t="str">
        <f t="shared" si="0"/>
        <v/>
      </c>
      <c r="S53" s="54"/>
    </row>
    <row r="54" spans="1:19" x14ac:dyDescent="0.3">
      <c r="B54" s="44"/>
      <c r="O54" s="2" t="str">
        <f t="shared" si="0"/>
        <v/>
      </c>
      <c r="S54" s="54"/>
    </row>
    <row r="55" spans="1:19" x14ac:dyDescent="0.3">
      <c r="B55" s="44"/>
      <c r="O55" s="2" t="str">
        <f t="shared" si="0"/>
        <v/>
      </c>
      <c r="S55" s="54"/>
    </row>
    <row r="56" spans="1:19" x14ac:dyDescent="0.3">
      <c r="B56" s="44"/>
      <c r="O56" s="2" t="str">
        <f t="shared" si="0"/>
        <v/>
      </c>
      <c r="S56" s="54"/>
    </row>
    <row r="57" spans="1:19" x14ac:dyDescent="0.3">
      <c r="B57" s="44"/>
      <c r="O57" s="2" t="str">
        <f t="shared" si="0"/>
        <v/>
      </c>
      <c r="S57" s="54"/>
    </row>
    <row r="58" spans="1:19" x14ac:dyDescent="0.3">
      <c r="B58" s="44"/>
      <c r="O58" s="2" t="str">
        <f t="shared" si="0"/>
        <v/>
      </c>
      <c r="S58" s="54"/>
    </row>
    <row r="59" spans="1:19" x14ac:dyDescent="0.3">
      <c r="B59" s="44"/>
      <c r="O59" s="2" t="str">
        <f t="shared" si="0"/>
        <v/>
      </c>
      <c r="S59" s="54"/>
    </row>
    <row r="60" spans="1:19" x14ac:dyDescent="0.3">
      <c r="B60" s="44"/>
      <c r="O60" s="2" t="str">
        <f t="shared" si="0"/>
        <v/>
      </c>
      <c r="S60" s="54"/>
    </row>
    <row r="61" spans="1:19" x14ac:dyDescent="0.3">
      <c r="B61" s="44"/>
      <c r="O61" s="2" t="str">
        <f t="shared" si="0"/>
        <v/>
      </c>
      <c r="S61" s="54"/>
    </row>
    <row r="62" spans="1:19" x14ac:dyDescent="0.3">
      <c r="B62" s="44"/>
      <c r="O62" s="2" t="str">
        <f t="shared" si="0"/>
        <v/>
      </c>
      <c r="S62" s="54"/>
    </row>
    <row r="63" spans="1:19" x14ac:dyDescent="0.3">
      <c r="B63" s="44"/>
      <c r="O63" s="2" t="str">
        <f t="shared" si="0"/>
        <v/>
      </c>
      <c r="S63" s="54"/>
    </row>
    <row r="64" spans="1:19" x14ac:dyDescent="0.3">
      <c r="B64" s="44"/>
      <c r="O64" s="2" t="str">
        <f t="shared" si="0"/>
        <v/>
      </c>
      <c r="S64" s="54"/>
    </row>
    <row r="65" spans="2:19" x14ac:dyDescent="0.3">
      <c r="B65" s="44"/>
      <c r="O65" s="2" t="str">
        <f t="shared" si="0"/>
        <v/>
      </c>
      <c r="S65" s="54"/>
    </row>
    <row r="66" spans="2:19" x14ac:dyDescent="0.3">
      <c r="B66" s="44"/>
      <c r="O66" s="2" t="str">
        <f t="shared" si="0"/>
        <v/>
      </c>
      <c r="S66" s="54"/>
    </row>
    <row r="67" spans="2:19" x14ac:dyDescent="0.3">
      <c r="B67" s="44"/>
      <c r="O67" s="2" t="str">
        <f t="shared" ref="O67:O100" si="1">IF(LEN(N67)&gt;0,40-LEN(N67),"")</f>
        <v/>
      </c>
      <c r="S67" s="54"/>
    </row>
    <row r="68" spans="2:19" x14ac:dyDescent="0.3">
      <c r="B68" s="44"/>
      <c r="O68" s="2" t="str">
        <f t="shared" si="1"/>
        <v/>
      </c>
      <c r="S68" s="54"/>
    </row>
    <row r="69" spans="2:19" x14ac:dyDescent="0.3">
      <c r="B69" s="44"/>
      <c r="O69" s="2" t="str">
        <f t="shared" si="1"/>
        <v/>
      </c>
      <c r="S69" s="54"/>
    </row>
    <row r="70" spans="2:19" x14ac:dyDescent="0.3">
      <c r="B70" s="44"/>
      <c r="O70" s="2" t="str">
        <f t="shared" si="1"/>
        <v/>
      </c>
      <c r="S70" s="54"/>
    </row>
    <row r="71" spans="2:19" x14ac:dyDescent="0.3">
      <c r="B71" s="44"/>
      <c r="O71" s="2" t="str">
        <f t="shared" si="1"/>
        <v/>
      </c>
      <c r="S71" s="54"/>
    </row>
    <row r="72" spans="2:19" x14ac:dyDescent="0.3">
      <c r="B72" s="44"/>
      <c r="O72" s="2" t="str">
        <f t="shared" si="1"/>
        <v/>
      </c>
      <c r="S72" s="54"/>
    </row>
    <row r="73" spans="2:19" x14ac:dyDescent="0.3">
      <c r="B73" s="44"/>
      <c r="O73" s="2" t="str">
        <f t="shared" si="1"/>
        <v/>
      </c>
      <c r="S73" s="54"/>
    </row>
    <row r="74" spans="2:19" x14ac:dyDescent="0.3">
      <c r="B74" s="44"/>
      <c r="O74" s="2" t="str">
        <f t="shared" si="1"/>
        <v/>
      </c>
      <c r="S74" s="54"/>
    </row>
    <row r="75" spans="2:19" x14ac:dyDescent="0.3">
      <c r="B75" s="44"/>
      <c r="O75" s="2" t="str">
        <f t="shared" si="1"/>
        <v/>
      </c>
      <c r="S75" s="54"/>
    </row>
    <row r="76" spans="2:19" x14ac:dyDescent="0.3">
      <c r="B76" s="44"/>
      <c r="O76" s="2" t="str">
        <f t="shared" si="1"/>
        <v/>
      </c>
      <c r="S76" s="54"/>
    </row>
    <row r="77" spans="2:19" x14ac:dyDescent="0.3">
      <c r="B77" s="44"/>
      <c r="O77" s="2" t="str">
        <f t="shared" si="1"/>
        <v/>
      </c>
      <c r="S77" s="54"/>
    </row>
    <row r="78" spans="2:19" x14ac:dyDescent="0.3">
      <c r="B78" s="44"/>
      <c r="O78" s="2" t="str">
        <f t="shared" si="1"/>
        <v/>
      </c>
      <c r="S78" s="54"/>
    </row>
    <row r="79" spans="2:19" x14ac:dyDescent="0.3">
      <c r="O79" s="2" t="str">
        <f t="shared" si="1"/>
        <v/>
      </c>
      <c r="S79" s="54"/>
    </row>
    <row r="80" spans="2:19" x14ac:dyDescent="0.3">
      <c r="O80" s="2" t="str">
        <f t="shared" si="1"/>
        <v/>
      </c>
      <c r="S80" s="54"/>
    </row>
    <row r="81" spans="15:19" x14ac:dyDescent="0.3">
      <c r="O81" s="2" t="str">
        <f t="shared" si="1"/>
        <v/>
      </c>
      <c r="S81" s="54"/>
    </row>
    <row r="82" spans="15:19" x14ac:dyDescent="0.3">
      <c r="O82" s="2" t="str">
        <f t="shared" si="1"/>
        <v/>
      </c>
      <c r="S82" s="54"/>
    </row>
    <row r="83" spans="15:19" x14ac:dyDescent="0.3">
      <c r="O83" s="2" t="str">
        <f t="shared" si="1"/>
        <v/>
      </c>
      <c r="S83" s="54"/>
    </row>
    <row r="84" spans="15:19" x14ac:dyDescent="0.3">
      <c r="O84" s="2" t="str">
        <f t="shared" si="1"/>
        <v/>
      </c>
      <c r="S84" s="54"/>
    </row>
    <row r="85" spans="15:19" x14ac:dyDescent="0.3">
      <c r="O85" s="2" t="str">
        <f t="shared" si="1"/>
        <v/>
      </c>
      <c r="S85" s="54"/>
    </row>
    <row r="86" spans="15:19" x14ac:dyDescent="0.3">
      <c r="O86" s="2" t="str">
        <f t="shared" si="1"/>
        <v/>
      </c>
      <c r="S86" s="54"/>
    </row>
    <row r="87" spans="15:19" x14ac:dyDescent="0.3">
      <c r="O87" s="2" t="str">
        <f t="shared" si="1"/>
        <v/>
      </c>
      <c r="S87" s="54"/>
    </row>
    <row r="88" spans="15:19" x14ac:dyDescent="0.3">
      <c r="O88" s="2" t="str">
        <f t="shared" si="1"/>
        <v/>
      </c>
      <c r="S88" s="54"/>
    </row>
    <row r="89" spans="15:19" x14ac:dyDescent="0.3">
      <c r="O89" s="2" t="str">
        <f t="shared" si="1"/>
        <v/>
      </c>
      <c r="S89" s="54"/>
    </row>
    <row r="90" spans="15:19" x14ac:dyDescent="0.3">
      <c r="O90" s="2" t="str">
        <f t="shared" si="1"/>
        <v/>
      </c>
      <c r="S90" s="54"/>
    </row>
    <row r="91" spans="15:19" x14ac:dyDescent="0.3">
      <c r="O91" s="2" t="str">
        <f t="shared" si="1"/>
        <v/>
      </c>
      <c r="S91" s="54"/>
    </row>
    <row r="92" spans="15:19" x14ac:dyDescent="0.3">
      <c r="O92" s="2" t="str">
        <f t="shared" si="1"/>
        <v/>
      </c>
      <c r="S92" s="54"/>
    </row>
    <row r="93" spans="15:19" x14ac:dyDescent="0.3">
      <c r="O93" s="2" t="str">
        <f t="shared" si="1"/>
        <v/>
      </c>
      <c r="S93" s="54"/>
    </row>
    <row r="94" spans="15:19" x14ac:dyDescent="0.3">
      <c r="O94" s="2" t="str">
        <f t="shared" si="1"/>
        <v/>
      </c>
      <c r="S94" s="54"/>
    </row>
    <row r="95" spans="15:19" x14ac:dyDescent="0.3">
      <c r="O95" s="2" t="str">
        <f t="shared" si="1"/>
        <v/>
      </c>
      <c r="S95" s="54"/>
    </row>
    <row r="96" spans="15:19" x14ac:dyDescent="0.3">
      <c r="O96" s="2" t="str">
        <f t="shared" si="1"/>
        <v/>
      </c>
      <c r="S96" s="54"/>
    </row>
    <row r="97" spans="15:19" x14ac:dyDescent="0.3">
      <c r="O97" s="2" t="str">
        <f t="shared" si="1"/>
        <v/>
      </c>
      <c r="S97" s="54"/>
    </row>
    <row r="98" spans="15:19" x14ac:dyDescent="0.3">
      <c r="O98" s="2" t="str">
        <f t="shared" si="1"/>
        <v/>
      </c>
      <c r="S98" s="54"/>
    </row>
    <row r="99" spans="15:19" x14ac:dyDescent="0.3">
      <c r="O99" s="2" t="str">
        <f t="shared" si="1"/>
        <v/>
      </c>
      <c r="S99" s="54"/>
    </row>
    <row r="100" spans="15:19" x14ac:dyDescent="0.3">
      <c r="O100" s="2" t="str">
        <f t="shared" si="1"/>
        <v/>
      </c>
      <c r="S100" s="54"/>
    </row>
  </sheetData>
  <autoFilter ref="A1:O100" xr:uid="{9F5565C3-974A-4441-BAFB-9E92FB6EA9F8}"/>
  <sortState xmlns:xlrd2="http://schemas.microsoft.com/office/spreadsheetml/2017/richdata2" ref="R3:T100">
    <sortCondition ref="R2:R100"/>
  </sortState>
  <conditionalFormatting sqref="N2:N50">
    <cfRule type="expression" dxfId="3" priority="2">
      <formula>LEN(N2)&gt;40</formula>
    </cfRule>
  </conditionalFormatting>
  <conditionalFormatting sqref="O2:O100">
    <cfRule type="cellIs" dxfId="2" priority="1" operator="lessThan">
      <formula>0</formula>
    </cfRule>
  </conditionalFormatting>
  <dataValidations count="5">
    <dataValidation type="list" allowBlank="1" showInputMessage="1" showErrorMessage="1" sqref="A65391:A130923 WVH982893 WLL982893 WBP982893 VRT982893 VHX982893 UYB982893 UOF982893 UEJ982893 TUN982893 TKR982893 TAV982893 SQZ982893 SHD982893 RXH982893 RNL982893 RDP982893 QTT982893 QJX982893 QAB982893 PQF982893 PGJ982893 OWN982893 OMR982893 OCV982893 NSZ982893 NJD982893 MZH982893 MPL982893 MFP982893 LVT982893 LLX982893 LCB982893 KSF982893 KIJ982893 JYN982893 JOR982893 JEV982893 IUZ982893 ILD982893 IBH982893 HRL982893 HHP982893 GXT982893 GNX982893 GEB982893 FUF982893 FKJ982893 FAN982893 EQR982893 EGV982893 DWZ982893 DND982893 DDH982893 CTL982893 CJP982893 BZT982893 BPX982893 BGB982893 AWF982893 AMJ982893 ACN982893 SR982893 IV982893 A982893 WVH917357 WLL917357 WBP917357 VRT917357 VHX917357 UYB917357 UOF917357 UEJ917357 TUN917357 TKR917357 TAV917357 SQZ917357 SHD917357 RXH917357 RNL917357 RDP917357 QTT917357 QJX917357 QAB917357 PQF917357 PGJ917357 OWN917357 OMR917357 OCV917357 NSZ917357 NJD917357 MZH917357 MPL917357 MFP917357 LVT917357 LLX917357 LCB917357 KSF917357 KIJ917357 JYN917357 JOR917357 JEV917357 IUZ917357 ILD917357 IBH917357 HRL917357 HHP917357 GXT917357 GNX917357 GEB917357 FUF917357 FKJ917357 FAN917357 EQR917357 EGV917357 DWZ917357 DND917357 DDH917357 CTL917357 CJP917357 BZT917357 BPX917357 BGB917357 AWF917357 AMJ917357 ACN917357 SR917357 IV917357 A917357 WVH851821 WLL851821 WBP851821 VRT851821 VHX851821 UYB851821 UOF851821 UEJ851821 TUN851821 TKR851821 TAV851821 SQZ851821 SHD851821 RXH851821 RNL851821 RDP851821 QTT851821 QJX851821 QAB851821 PQF851821 PGJ851821 OWN851821 OMR851821 OCV851821 NSZ851821 NJD851821 MZH851821 MPL851821 MFP851821 LVT851821 LLX851821 LCB851821 KSF851821 KIJ851821 JYN851821 JOR851821 JEV851821 IUZ851821 ILD851821 IBH851821 HRL851821 HHP851821 GXT851821 GNX851821 GEB851821 FUF851821 FKJ851821 FAN851821 EQR851821 EGV851821 DWZ851821 DND851821 DDH851821 CTL851821 CJP851821 BZT851821 BPX851821 BGB851821 AWF851821 AMJ851821 ACN851821 SR851821 IV851821 A851821 WVH786285 WLL786285 WBP786285 VRT786285 VHX786285 UYB786285 UOF786285 UEJ786285 TUN786285 TKR786285 TAV786285 SQZ786285 SHD786285 RXH786285 RNL786285 RDP786285 QTT786285 QJX786285 QAB786285 PQF786285 PGJ786285 OWN786285 OMR786285 OCV786285 NSZ786285 NJD786285 MZH786285 MPL786285 MFP786285 LVT786285 LLX786285 LCB786285 KSF786285 KIJ786285 JYN786285 JOR786285 JEV786285 IUZ786285 ILD786285 IBH786285 HRL786285 HHP786285 GXT786285 GNX786285 GEB786285 FUF786285 FKJ786285 FAN786285 EQR786285 EGV786285 DWZ786285 DND786285 DDH786285 CTL786285 CJP786285 BZT786285 BPX786285 BGB786285 AWF786285 AMJ786285 ACN786285 SR786285 IV786285 A786285 WVH720749 WLL720749 WBP720749 VRT720749 VHX720749 UYB720749 UOF720749 UEJ720749 TUN720749 TKR720749 TAV720749 SQZ720749 SHD720749 RXH720749 RNL720749 RDP720749 QTT720749 QJX720749 QAB720749 PQF720749 PGJ720749 OWN720749 OMR720749 OCV720749 NSZ720749 NJD720749 MZH720749 MPL720749 MFP720749 LVT720749 LLX720749 LCB720749 KSF720749 KIJ720749 JYN720749 JOR720749 JEV720749 IUZ720749 ILD720749 IBH720749 HRL720749 HHP720749 GXT720749 GNX720749 GEB720749 FUF720749 FKJ720749 FAN720749 EQR720749 EGV720749 DWZ720749 DND720749 DDH720749 CTL720749 CJP720749 BZT720749 BPX720749 BGB720749 AWF720749 AMJ720749 ACN720749 SR720749 IV720749 A720749 WVH655213 WLL655213 WBP655213 VRT655213 VHX655213 UYB655213 UOF655213 UEJ655213 TUN655213 TKR655213 TAV655213 SQZ655213 SHD655213 RXH655213 RNL655213 RDP655213 QTT655213 QJX655213 QAB655213 PQF655213 PGJ655213 OWN655213 OMR655213 OCV655213 NSZ655213 NJD655213 MZH655213 MPL655213 MFP655213 LVT655213 LLX655213 LCB655213 KSF655213 KIJ655213 JYN655213 JOR655213 JEV655213 IUZ655213 ILD655213 IBH655213 HRL655213 HHP655213 GXT655213 GNX655213 GEB655213 FUF655213 FKJ655213 FAN655213 EQR655213 EGV655213 DWZ655213 DND655213 DDH655213 CTL655213 CJP655213 BZT655213 BPX655213 BGB655213 AWF655213 AMJ655213 ACN655213 SR655213 IV655213 A655213 WVH589677 WLL589677 WBP589677 VRT589677 VHX589677 UYB589677 UOF589677 UEJ589677 TUN589677 TKR589677 TAV589677 SQZ589677 SHD589677 RXH589677 RNL589677 RDP589677 QTT589677 QJX589677 QAB589677 PQF589677 PGJ589677 OWN589677 OMR589677 OCV589677 NSZ589677 NJD589677 MZH589677 MPL589677 MFP589677 LVT589677 LLX589677 LCB589677 KSF589677 KIJ589677 JYN589677 JOR589677 JEV589677 IUZ589677 ILD589677 IBH589677 HRL589677 HHP589677 GXT589677 GNX589677 GEB589677 FUF589677 FKJ589677 FAN589677 EQR589677 EGV589677 DWZ589677 DND589677 DDH589677 CTL589677 CJP589677 BZT589677 BPX589677 BGB589677 AWF589677 AMJ589677 ACN589677 SR589677 IV589677 A589677 WVH524141 WLL524141 WBP524141 VRT524141 VHX524141 UYB524141 UOF524141 UEJ524141 TUN524141 TKR524141 TAV524141 SQZ524141 SHD524141 RXH524141 RNL524141 RDP524141 QTT524141 QJX524141 QAB524141 PQF524141 PGJ524141 OWN524141 OMR524141 OCV524141 NSZ524141 NJD524141 MZH524141 MPL524141 MFP524141 LVT524141 LLX524141 LCB524141 KSF524141 KIJ524141 JYN524141 JOR524141 JEV524141 IUZ524141 ILD524141 IBH524141 HRL524141 HHP524141 GXT524141 GNX524141 GEB524141 FUF524141 FKJ524141 FAN524141 EQR524141 EGV524141 DWZ524141 DND524141 DDH524141 CTL524141 CJP524141 BZT524141 BPX524141 BGB524141 AWF524141 AMJ524141 ACN524141 SR524141 IV524141 A524141 WVH458605 WLL458605 WBP458605 VRT458605 VHX458605 UYB458605 UOF458605 UEJ458605 TUN458605 TKR458605 TAV458605 SQZ458605 SHD458605 RXH458605 RNL458605 RDP458605 QTT458605 QJX458605 QAB458605 PQF458605 PGJ458605 OWN458605 OMR458605 OCV458605 NSZ458605 NJD458605 MZH458605 MPL458605 MFP458605 LVT458605 LLX458605 LCB458605 KSF458605 KIJ458605 JYN458605 JOR458605 JEV458605 IUZ458605 ILD458605 IBH458605 HRL458605 HHP458605 GXT458605 GNX458605 GEB458605 FUF458605 FKJ458605 FAN458605 EQR458605 EGV458605 DWZ458605 DND458605 DDH458605 CTL458605 CJP458605 BZT458605 BPX458605 BGB458605 AWF458605 AMJ458605 ACN458605 SR458605 IV458605 A458605 WVH393069 WLL393069 WBP393069 VRT393069 VHX393069 UYB393069 UOF393069 UEJ393069 TUN393069 TKR393069 TAV393069 SQZ393069 SHD393069 RXH393069 RNL393069 RDP393069 QTT393069 QJX393069 QAB393069 PQF393069 PGJ393069 OWN393069 OMR393069 OCV393069 NSZ393069 NJD393069 MZH393069 MPL393069 MFP393069 LVT393069 LLX393069 LCB393069 KSF393069 KIJ393069 JYN393069 JOR393069 JEV393069 IUZ393069 ILD393069 IBH393069 HRL393069 HHP393069 GXT393069 GNX393069 GEB393069 FUF393069 FKJ393069 FAN393069 EQR393069 EGV393069 DWZ393069 DND393069 DDH393069 CTL393069 CJP393069 BZT393069 BPX393069 BGB393069 AWF393069 AMJ393069 ACN393069 SR393069 IV393069 A393069 WVH327533 WLL327533 WBP327533 VRT327533 VHX327533 UYB327533 UOF327533 UEJ327533 TUN327533 TKR327533 TAV327533 SQZ327533 SHD327533 RXH327533 RNL327533 RDP327533 QTT327533 QJX327533 QAB327533 PQF327533 PGJ327533 OWN327533 OMR327533 OCV327533 NSZ327533 NJD327533 MZH327533 MPL327533 MFP327533 LVT327533 LLX327533 LCB327533 KSF327533 KIJ327533 JYN327533 JOR327533 JEV327533 IUZ327533 ILD327533 IBH327533 HRL327533 HHP327533 GXT327533 GNX327533 GEB327533 FUF327533 FKJ327533 FAN327533 EQR327533 EGV327533 DWZ327533 DND327533 DDH327533 CTL327533 CJP327533 BZT327533 BPX327533 BGB327533 AWF327533 AMJ327533 ACN327533 SR327533 IV327533 A327533 WVH261997 WLL261997 WBP261997 VRT261997 VHX261997 UYB261997 UOF261997 UEJ261997 TUN261997 TKR261997 TAV261997 SQZ261997 SHD261997 RXH261997 RNL261997 RDP261997 QTT261997 QJX261997 QAB261997 PQF261997 PGJ261997 OWN261997 OMR261997 OCV261997 NSZ261997 NJD261997 MZH261997 MPL261997 MFP261997 LVT261997 LLX261997 LCB261997 KSF261997 KIJ261997 JYN261997 JOR261997 JEV261997 IUZ261997 ILD261997 IBH261997 HRL261997 HHP261997 GXT261997 GNX261997 GEB261997 FUF261997 FKJ261997 FAN261997 EQR261997 EGV261997 DWZ261997 DND261997 DDH261997 CTL261997 CJP261997 BZT261997 BPX261997 BGB261997 AWF261997 AMJ261997 ACN261997 SR261997 IV261997 A261997 WVH196461 WLL196461 WBP196461 VRT196461 VHX196461 UYB196461 UOF196461 UEJ196461 TUN196461 TKR196461 TAV196461 SQZ196461 SHD196461 RXH196461 RNL196461 RDP196461 QTT196461 QJX196461 QAB196461 PQF196461 PGJ196461 OWN196461 OMR196461 OCV196461 NSZ196461 NJD196461 MZH196461 MPL196461 MFP196461 LVT196461 LLX196461 LCB196461 KSF196461 KIJ196461 JYN196461 JOR196461 JEV196461 IUZ196461 ILD196461 IBH196461 HRL196461 HHP196461 GXT196461 GNX196461 GEB196461 FUF196461 FKJ196461 FAN196461 EQR196461 EGV196461 DWZ196461 DND196461 DDH196461 CTL196461 CJP196461 BZT196461 BPX196461 BGB196461 AWF196461 AMJ196461 ACN196461 SR196461 IV196461 A196461 WVH130925 WLL130925 WBP130925 VRT130925 VHX130925 UYB130925 UOF130925 UEJ130925 TUN130925 TKR130925 TAV130925 SQZ130925 SHD130925 RXH130925 RNL130925 RDP130925 QTT130925 QJX130925 QAB130925 PQF130925 PGJ130925 OWN130925 OMR130925 OCV130925 NSZ130925 NJD130925 MZH130925 MPL130925 MFP130925 LVT130925 LLX130925 LCB130925 KSF130925 KIJ130925 JYN130925 JOR130925 JEV130925 IUZ130925 ILD130925 IBH130925 HRL130925 HHP130925 GXT130925 GNX130925 GEB130925 FUF130925 FKJ130925 FAN130925 EQR130925 EGV130925 DWZ130925 DND130925 DDH130925 CTL130925 CJP130925 BZT130925 BPX130925 BGB130925 AWF130925 AMJ130925 ACN130925 SR130925 IV130925 A130925 WVH65389 WLL65389 WBP65389 VRT65389 VHX65389 UYB65389 UOF65389 UEJ65389 TUN65389 TKR65389 TAV65389 SQZ65389 SHD65389 RXH65389 RNL65389 RDP65389 QTT65389 QJX65389 QAB65389 PQF65389 PGJ65389 OWN65389 OMR65389 OCV65389 NSZ65389 NJD65389 MZH65389 MPL65389 MFP65389 LVT65389 LLX65389 LCB65389 KSF65389 KIJ65389 JYN65389 JOR65389 JEV65389 IUZ65389 ILD65389 IBH65389 HRL65389 HHP65389 GXT65389 GNX65389 GEB65389 FUF65389 FKJ65389 FAN65389 EQR65389 EGV65389 DWZ65389 DND65389 DDH65389 CTL65389 CJP65389 BZT65389 BPX65389 BGB65389 AWF65389 AMJ65389 ACN65389 SR65389 IV65389 A65389 WVH982895:WVH1048576 WLL982895:WLL1048576 WBP982895:WBP1048576 VRT982895:VRT1048576 VHX982895:VHX1048576 UYB982895:UYB1048576 UOF982895:UOF1048576 UEJ982895:UEJ1048576 TUN982895:TUN1048576 TKR982895:TKR1048576 TAV982895:TAV1048576 SQZ982895:SQZ1048576 SHD982895:SHD1048576 RXH982895:RXH1048576 RNL982895:RNL1048576 RDP982895:RDP1048576 QTT982895:QTT1048576 QJX982895:QJX1048576 QAB982895:QAB1048576 PQF982895:PQF1048576 PGJ982895:PGJ1048576 OWN982895:OWN1048576 OMR982895:OMR1048576 OCV982895:OCV1048576 NSZ982895:NSZ1048576 NJD982895:NJD1048576 MZH982895:MZH1048576 MPL982895:MPL1048576 MFP982895:MFP1048576 LVT982895:LVT1048576 LLX982895:LLX1048576 LCB982895:LCB1048576 KSF982895:KSF1048576 KIJ982895:KIJ1048576 JYN982895:JYN1048576 JOR982895:JOR1048576 JEV982895:JEV1048576 IUZ982895:IUZ1048576 ILD982895:ILD1048576 IBH982895:IBH1048576 HRL982895:HRL1048576 HHP982895:HHP1048576 GXT982895:GXT1048576 GNX982895:GNX1048576 GEB982895:GEB1048576 FUF982895:FUF1048576 FKJ982895:FKJ1048576 FAN982895:FAN1048576 EQR982895:EQR1048576 EGV982895:EGV1048576 DWZ982895:DWZ1048576 DND982895:DND1048576 DDH982895:DDH1048576 CTL982895:CTL1048576 CJP982895:CJP1048576 BZT982895:BZT1048576 BPX982895:BPX1048576 BGB982895:BGB1048576 AWF982895:AWF1048576 AMJ982895:AMJ1048576 ACN982895:ACN1048576 SR982895:SR1048576 IV982895:IV1048576 A982895:A1048576 WVH917359:WVH982891 WLL917359:WLL982891 WBP917359:WBP982891 VRT917359:VRT982891 VHX917359:VHX982891 UYB917359:UYB982891 UOF917359:UOF982891 UEJ917359:UEJ982891 TUN917359:TUN982891 TKR917359:TKR982891 TAV917359:TAV982891 SQZ917359:SQZ982891 SHD917359:SHD982891 RXH917359:RXH982891 RNL917359:RNL982891 RDP917359:RDP982891 QTT917359:QTT982891 QJX917359:QJX982891 QAB917359:QAB982891 PQF917359:PQF982891 PGJ917359:PGJ982891 OWN917359:OWN982891 OMR917359:OMR982891 OCV917359:OCV982891 NSZ917359:NSZ982891 NJD917359:NJD982891 MZH917359:MZH982891 MPL917359:MPL982891 MFP917359:MFP982891 LVT917359:LVT982891 LLX917359:LLX982891 LCB917359:LCB982891 KSF917359:KSF982891 KIJ917359:KIJ982891 JYN917359:JYN982891 JOR917359:JOR982891 JEV917359:JEV982891 IUZ917359:IUZ982891 ILD917359:ILD982891 IBH917359:IBH982891 HRL917359:HRL982891 HHP917359:HHP982891 GXT917359:GXT982891 GNX917359:GNX982891 GEB917359:GEB982891 FUF917359:FUF982891 FKJ917359:FKJ982891 FAN917359:FAN982891 EQR917359:EQR982891 EGV917359:EGV982891 DWZ917359:DWZ982891 DND917359:DND982891 DDH917359:DDH982891 CTL917359:CTL982891 CJP917359:CJP982891 BZT917359:BZT982891 BPX917359:BPX982891 BGB917359:BGB982891 AWF917359:AWF982891 AMJ917359:AMJ982891 ACN917359:ACN982891 SR917359:SR982891 IV917359:IV982891 A917359:A982891 WVH851823:WVH917355 WLL851823:WLL917355 WBP851823:WBP917355 VRT851823:VRT917355 VHX851823:VHX917355 UYB851823:UYB917355 UOF851823:UOF917355 UEJ851823:UEJ917355 TUN851823:TUN917355 TKR851823:TKR917355 TAV851823:TAV917355 SQZ851823:SQZ917355 SHD851823:SHD917355 RXH851823:RXH917355 RNL851823:RNL917355 RDP851823:RDP917355 QTT851823:QTT917355 QJX851823:QJX917355 QAB851823:QAB917355 PQF851823:PQF917355 PGJ851823:PGJ917355 OWN851823:OWN917355 OMR851823:OMR917355 OCV851823:OCV917355 NSZ851823:NSZ917355 NJD851823:NJD917355 MZH851823:MZH917355 MPL851823:MPL917355 MFP851823:MFP917355 LVT851823:LVT917355 LLX851823:LLX917355 LCB851823:LCB917355 KSF851823:KSF917355 KIJ851823:KIJ917355 JYN851823:JYN917355 JOR851823:JOR917355 JEV851823:JEV917355 IUZ851823:IUZ917355 ILD851823:ILD917355 IBH851823:IBH917355 HRL851823:HRL917355 HHP851823:HHP917355 GXT851823:GXT917355 GNX851823:GNX917355 GEB851823:GEB917355 FUF851823:FUF917355 FKJ851823:FKJ917355 FAN851823:FAN917355 EQR851823:EQR917355 EGV851823:EGV917355 DWZ851823:DWZ917355 DND851823:DND917355 DDH851823:DDH917355 CTL851823:CTL917355 CJP851823:CJP917355 BZT851823:BZT917355 BPX851823:BPX917355 BGB851823:BGB917355 AWF851823:AWF917355 AMJ851823:AMJ917355 ACN851823:ACN917355 SR851823:SR917355 IV851823:IV917355 A851823:A917355 WVH786287:WVH851819 WLL786287:WLL851819 WBP786287:WBP851819 VRT786287:VRT851819 VHX786287:VHX851819 UYB786287:UYB851819 UOF786287:UOF851819 UEJ786287:UEJ851819 TUN786287:TUN851819 TKR786287:TKR851819 TAV786287:TAV851819 SQZ786287:SQZ851819 SHD786287:SHD851819 RXH786287:RXH851819 RNL786287:RNL851819 RDP786287:RDP851819 QTT786287:QTT851819 QJX786287:QJX851819 QAB786287:QAB851819 PQF786287:PQF851819 PGJ786287:PGJ851819 OWN786287:OWN851819 OMR786287:OMR851819 OCV786287:OCV851819 NSZ786287:NSZ851819 NJD786287:NJD851819 MZH786287:MZH851819 MPL786287:MPL851819 MFP786287:MFP851819 LVT786287:LVT851819 LLX786287:LLX851819 LCB786287:LCB851819 KSF786287:KSF851819 KIJ786287:KIJ851819 JYN786287:JYN851819 JOR786287:JOR851819 JEV786287:JEV851819 IUZ786287:IUZ851819 ILD786287:ILD851819 IBH786287:IBH851819 HRL786287:HRL851819 HHP786287:HHP851819 GXT786287:GXT851819 GNX786287:GNX851819 GEB786287:GEB851819 FUF786287:FUF851819 FKJ786287:FKJ851819 FAN786287:FAN851819 EQR786287:EQR851819 EGV786287:EGV851819 DWZ786287:DWZ851819 DND786287:DND851819 DDH786287:DDH851819 CTL786287:CTL851819 CJP786287:CJP851819 BZT786287:BZT851819 BPX786287:BPX851819 BGB786287:BGB851819 AWF786287:AWF851819 AMJ786287:AMJ851819 ACN786287:ACN851819 SR786287:SR851819 IV786287:IV851819 A786287:A851819 WVH720751:WVH786283 WLL720751:WLL786283 WBP720751:WBP786283 VRT720751:VRT786283 VHX720751:VHX786283 UYB720751:UYB786283 UOF720751:UOF786283 UEJ720751:UEJ786283 TUN720751:TUN786283 TKR720751:TKR786283 TAV720751:TAV786283 SQZ720751:SQZ786283 SHD720751:SHD786283 RXH720751:RXH786283 RNL720751:RNL786283 RDP720751:RDP786283 QTT720751:QTT786283 QJX720751:QJX786283 QAB720751:QAB786283 PQF720751:PQF786283 PGJ720751:PGJ786283 OWN720751:OWN786283 OMR720751:OMR786283 OCV720751:OCV786283 NSZ720751:NSZ786283 NJD720751:NJD786283 MZH720751:MZH786283 MPL720751:MPL786283 MFP720751:MFP786283 LVT720751:LVT786283 LLX720751:LLX786283 LCB720751:LCB786283 KSF720751:KSF786283 KIJ720751:KIJ786283 JYN720751:JYN786283 JOR720751:JOR786283 JEV720751:JEV786283 IUZ720751:IUZ786283 ILD720751:ILD786283 IBH720751:IBH786283 HRL720751:HRL786283 HHP720751:HHP786283 GXT720751:GXT786283 GNX720751:GNX786283 GEB720751:GEB786283 FUF720751:FUF786283 FKJ720751:FKJ786283 FAN720751:FAN786283 EQR720751:EQR786283 EGV720751:EGV786283 DWZ720751:DWZ786283 DND720751:DND786283 DDH720751:DDH786283 CTL720751:CTL786283 CJP720751:CJP786283 BZT720751:BZT786283 BPX720751:BPX786283 BGB720751:BGB786283 AWF720751:AWF786283 AMJ720751:AMJ786283 ACN720751:ACN786283 SR720751:SR786283 IV720751:IV786283 A720751:A786283 WVH655215:WVH720747 WLL655215:WLL720747 WBP655215:WBP720747 VRT655215:VRT720747 VHX655215:VHX720747 UYB655215:UYB720747 UOF655215:UOF720747 UEJ655215:UEJ720747 TUN655215:TUN720747 TKR655215:TKR720747 TAV655215:TAV720747 SQZ655215:SQZ720747 SHD655215:SHD720747 RXH655215:RXH720747 RNL655215:RNL720747 RDP655215:RDP720747 QTT655215:QTT720747 QJX655215:QJX720747 QAB655215:QAB720747 PQF655215:PQF720747 PGJ655215:PGJ720747 OWN655215:OWN720747 OMR655215:OMR720747 OCV655215:OCV720747 NSZ655215:NSZ720747 NJD655215:NJD720747 MZH655215:MZH720747 MPL655215:MPL720747 MFP655215:MFP720747 LVT655215:LVT720747 LLX655215:LLX720747 LCB655215:LCB720747 KSF655215:KSF720747 KIJ655215:KIJ720747 JYN655215:JYN720747 JOR655215:JOR720747 JEV655215:JEV720747 IUZ655215:IUZ720747 ILD655215:ILD720747 IBH655215:IBH720747 HRL655215:HRL720747 HHP655215:HHP720747 GXT655215:GXT720747 GNX655215:GNX720747 GEB655215:GEB720747 FUF655215:FUF720747 FKJ655215:FKJ720747 FAN655215:FAN720747 EQR655215:EQR720747 EGV655215:EGV720747 DWZ655215:DWZ720747 DND655215:DND720747 DDH655215:DDH720747 CTL655215:CTL720747 CJP655215:CJP720747 BZT655215:BZT720747 BPX655215:BPX720747 BGB655215:BGB720747 AWF655215:AWF720747 AMJ655215:AMJ720747 ACN655215:ACN720747 SR655215:SR720747 IV655215:IV720747 A655215:A720747 WVH589679:WVH655211 WLL589679:WLL655211 WBP589679:WBP655211 VRT589679:VRT655211 VHX589679:VHX655211 UYB589679:UYB655211 UOF589679:UOF655211 UEJ589679:UEJ655211 TUN589679:TUN655211 TKR589679:TKR655211 TAV589679:TAV655211 SQZ589679:SQZ655211 SHD589679:SHD655211 RXH589679:RXH655211 RNL589679:RNL655211 RDP589679:RDP655211 QTT589679:QTT655211 QJX589679:QJX655211 QAB589679:QAB655211 PQF589679:PQF655211 PGJ589679:PGJ655211 OWN589679:OWN655211 OMR589679:OMR655211 OCV589679:OCV655211 NSZ589679:NSZ655211 NJD589679:NJD655211 MZH589679:MZH655211 MPL589679:MPL655211 MFP589679:MFP655211 LVT589679:LVT655211 LLX589679:LLX655211 LCB589679:LCB655211 KSF589679:KSF655211 KIJ589679:KIJ655211 JYN589679:JYN655211 JOR589679:JOR655211 JEV589679:JEV655211 IUZ589679:IUZ655211 ILD589679:ILD655211 IBH589679:IBH655211 HRL589679:HRL655211 HHP589679:HHP655211 GXT589679:GXT655211 GNX589679:GNX655211 GEB589679:GEB655211 FUF589679:FUF655211 FKJ589679:FKJ655211 FAN589679:FAN655211 EQR589679:EQR655211 EGV589679:EGV655211 DWZ589679:DWZ655211 DND589679:DND655211 DDH589679:DDH655211 CTL589679:CTL655211 CJP589679:CJP655211 BZT589679:BZT655211 BPX589679:BPX655211 BGB589679:BGB655211 AWF589679:AWF655211 AMJ589679:AMJ655211 ACN589679:ACN655211 SR589679:SR655211 IV589679:IV655211 A589679:A655211 WVH524143:WVH589675 WLL524143:WLL589675 WBP524143:WBP589675 VRT524143:VRT589675 VHX524143:VHX589675 UYB524143:UYB589675 UOF524143:UOF589675 UEJ524143:UEJ589675 TUN524143:TUN589675 TKR524143:TKR589675 TAV524143:TAV589675 SQZ524143:SQZ589675 SHD524143:SHD589675 RXH524143:RXH589675 RNL524143:RNL589675 RDP524143:RDP589675 QTT524143:QTT589675 QJX524143:QJX589675 QAB524143:QAB589675 PQF524143:PQF589675 PGJ524143:PGJ589675 OWN524143:OWN589675 OMR524143:OMR589675 OCV524143:OCV589675 NSZ524143:NSZ589675 NJD524143:NJD589675 MZH524143:MZH589675 MPL524143:MPL589675 MFP524143:MFP589675 LVT524143:LVT589675 LLX524143:LLX589675 LCB524143:LCB589675 KSF524143:KSF589675 KIJ524143:KIJ589675 JYN524143:JYN589675 JOR524143:JOR589675 JEV524143:JEV589675 IUZ524143:IUZ589675 ILD524143:ILD589675 IBH524143:IBH589675 HRL524143:HRL589675 HHP524143:HHP589675 GXT524143:GXT589675 GNX524143:GNX589675 GEB524143:GEB589675 FUF524143:FUF589675 FKJ524143:FKJ589675 FAN524143:FAN589675 EQR524143:EQR589675 EGV524143:EGV589675 DWZ524143:DWZ589675 DND524143:DND589675 DDH524143:DDH589675 CTL524143:CTL589675 CJP524143:CJP589675 BZT524143:BZT589675 BPX524143:BPX589675 BGB524143:BGB589675 AWF524143:AWF589675 AMJ524143:AMJ589675 ACN524143:ACN589675 SR524143:SR589675 IV524143:IV589675 A524143:A589675 WVH458607:WVH524139 WLL458607:WLL524139 WBP458607:WBP524139 VRT458607:VRT524139 VHX458607:VHX524139 UYB458607:UYB524139 UOF458607:UOF524139 UEJ458607:UEJ524139 TUN458607:TUN524139 TKR458607:TKR524139 TAV458607:TAV524139 SQZ458607:SQZ524139 SHD458607:SHD524139 RXH458607:RXH524139 RNL458607:RNL524139 RDP458607:RDP524139 QTT458607:QTT524139 QJX458607:QJX524139 QAB458607:QAB524139 PQF458607:PQF524139 PGJ458607:PGJ524139 OWN458607:OWN524139 OMR458607:OMR524139 OCV458607:OCV524139 NSZ458607:NSZ524139 NJD458607:NJD524139 MZH458607:MZH524139 MPL458607:MPL524139 MFP458607:MFP524139 LVT458607:LVT524139 LLX458607:LLX524139 LCB458607:LCB524139 KSF458607:KSF524139 KIJ458607:KIJ524139 JYN458607:JYN524139 JOR458607:JOR524139 JEV458607:JEV524139 IUZ458607:IUZ524139 ILD458607:ILD524139 IBH458607:IBH524139 HRL458607:HRL524139 HHP458607:HHP524139 GXT458607:GXT524139 GNX458607:GNX524139 GEB458607:GEB524139 FUF458607:FUF524139 FKJ458607:FKJ524139 FAN458607:FAN524139 EQR458607:EQR524139 EGV458607:EGV524139 DWZ458607:DWZ524139 DND458607:DND524139 DDH458607:DDH524139 CTL458607:CTL524139 CJP458607:CJP524139 BZT458607:BZT524139 BPX458607:BPX524139 BGB458607:BGB524139 AWF458607:AWF524139 AMJ458607:AMJ524139 ACN458607:ACN524139 SR458607:SR524139 IV458607:IV524139 A458607:A524139 WVH393071:WVH458603 WLL393071:WLL458603 WBP393071:WBP458603 VRT393071:VRT458603 VHX393071:VHX458603 UYB393071:UYB458603 UOF393071:UOF458603 UEJ393071:UEJ458603 TUN393071:TUN458603 TKR393071:TKR458603 TAV393071:TAV458603 SQZ393071:SQZ458603 SHD393071:SHD458603 RXH393071:RXH458603 RNL393071:RNL458603 RDP393071:RDP458603 QTT393071:QTT458603 QJX393071:QJX458603 QAB393071:QAB458603 PQF393071:PQF458603 PGJ393071:PGJ458603 OWN393071:OWN458603 OMR393071:OMR458603 OCV393071:OCV458603 NSZ393071:NSZ458603 NJD393071:NJD458603 MZH393071:MZH458603 MPL393071:MPL458603 MFP393071:MFP458603 LVT393071:LVT458603 LLX393071:LLX458603 LCB393071:LCB458603 KSF393071:KSF458603 KIJ393071:KIJ458603 JYN393071:JYN458603 JOR393071:JOR458603 JEV393071:JEV458603 IUZ393071:IUZ458603 ILD393071:ILD458603 IBH393071:IBH458603 HRL393071:HRL458603 HHP393071:HHP458603 GXT393071:GXT458603 GNX393071:GNX458603 GEB393071:GEB458603 FUF393071:FUF458603 FKJ393071:FKJ458603 FAN393071:FAN458603 EQR393071:EQR458603 EGV393071:EGV458603 DWZ393071:DWZ458603 DND393071:DND458603 DDH393071:DDH458603 CTL393071:CTL458603 CJP393071:CJP458603 BZT393071:BZT458603 BPX393071:BPX458603 BGB393071:BGB458603 AWF393071:AWF458603 AMJ393071:AMJ458603 ACN393071:ACN458603 SR393071:SR458603 IV393071:IV458603 A393071:A458603 WVH327535:WVH393067 WLL327535:WLL393067 WBP327535:WBP393067 VRT327535:VRT393067 VHX327535:VHX393067 UYB327535:UYB393067 UOF327535:UOF393067 UEJ327535:UEJ393067 TUN327535:TUN393067 TKR327535:TKR393067 TAV327535:TAV393067 SQZ327535:SQZ393067 SHD327535:SHD393067 RXH327535:RXH393067 RNL327535:RNL393067 RDP327535:RDP393067 QTT327535:QTT393067 QJX327535:QJX393067 QAB327535:QAB393067 PQF327535:PQF393067 PGJ327535:PGJ393067 OWN327535:OWN393067 OMR327535:OMR393067 OCV327535:OCV393067 NSZ327535:NSZ393067 NJD327535:NJD393067 MZH327535:MZH393067 MPL327535:MPL393067 MFP327535:MFP393067 LVT327535:LVT393067 LLX327535:LLX393067 LCB327535:LCB393067 KSF327535:KSF393067 KIJ327535:KIJ393067 JYN327535:JYN393067 JOR327535:JOR393067 JEV327535:JEV393067 IUZ327535:IUZ393067 ILD327535:ILD393067 IBH327535:IBH393067 HRL327535:HRL393067 HHP327535:HHP393067 GXT327535:GXT393067 GNX327535:GNX393067 GEB327535:GEB393067 FUF327535:FUF393067 FKJ327535:FKJ393067 FAN327535:FAN393067 EQR327535:EQR393067 EGV327535:EGV393067 DWZ327535:DWZ393067 DND327535:DND393067 DDH327535:DDH393067 CTL327535:CTL393067 CJP327535:CJP393067 BZT327535:BZT393067 BPX327535:BPX393067 BGB327535:BGB393067 AWF327535:AWF393067 AMJ327535:AMJ393067 ACN327535:ACN393067 SR327535:SR393067 IV327535:IV393067 A327535:A393067 WVH261999:WVH327531 WLL261999:WLL327531 WBP261999:WBP327531 VRT261999:VRT327531 VHX261999:VHX327531 UYB261999:UYB327531 UOF261999:UOF327531 UEJ261999:UEJ327531 TUN261999:TUN327531 TKR261999:TKR327531 TAV261999:TAV327531 SQZ261999:SQZ327531 SHD261999:SHD327531 RXH261999:RXH327531 RNL261999:RNL327531 RDP261999:RDP327531 QTT261999:QTT327531 QJX261999:QJX327531 QAB261999:QAB327531 PQF261999:PQF327531 PGJ261999:PGJ327531 OWN261999:OWN327531 OMR261999:OMR327531 OCV261999:OCV327531 NSZ261999:NSZ327531 NJD261999:NJD327531 MZH261999:MZH327531 MPL261999:MPL327531 MFP261999:MFP327531 LVT261999:LVT327531 LLX261999:LLX327531 LCB261999:LCB327531 KSF261999:KSF327531 KIJ261999:KIJ327531 JYN261999:JYN327531 JOR261999:JOR327531 JEV261999:JEV327531 IUZ261999:IUZ327531 ILD261999:ILD327531 IBH261999:IBH327531 HRL261999:HRL327531 HHP261999:HHP327531 GXT261999:GXT327531 GNX261999:GNX327531 GEB261999:GEB327531 FUF261999:FUF327531 FKJ261999:FKJ327531 FAN261999:FAN327531 EQR261999:EQR327531 EGV261999:EGV327531 DWZ261999:DWZ327531 DND261999:DND327531 DDH261999:DDH327531 CTL261999:CTL327531 CJP261999:CJP327531 BZT261999:BZT327531 BPX261999:BPX327531 BGB261999:BGB327531 AWF261999:AWF327531 AMJ261999:AMJ327531 ACN261999:ACN327531 SR261999:SR327531 IV261999:IV327531 A261999:A327531 WVH196463:WVH261995 WLL196463:WLL261995 WBP196463:WBP261995 VRT196463:VRT261995 VHX196463:VHX261995 UYB196463:UYB261995 UOF196463:UOF261995 UEJ196463:UEJ261995 TUN196463:TUN261995 TKR196463:TKR261995 TAV196463:TAV261995 SQZ196463:SQZ261995 SHD196463:SHD261995 RXH196463:RXH261995 RNL196463:RNL261995 RDP196463:RDP261995 QTT196463:QTT261995 QJX196463:QJX261995 QAB196463:QAB261995 PQF196463:PQF261995 PGJ196463:PGJ261995 OWN196463:OWN261995 OMR196463:OMR261995 OCV196463:OCV261995 NSZ196463:NSZ261995 NJD196463:NJD261995 MZH196463:MZH261995 MPL196463:MPL261995 MFP196463:MFP261995 LVT196463:LVT261995 LLX196463:LLX261995 LCB196463:LCB261995 KSF196463:KSF261995 KIJ196463:KIJ261995 JYN196463:JYN261995 JOR196463:JOR261995 JEV196463:JEV261995 IUZ196463:IUZ261995 ILD196463:ILD261995 IBH196463:IBH261995 HRL196463:HRL261995 HHP196463:HHP261995 GXT196463:GXT261995 GNX196463:GNX261995 GEB196463:GEB261995 FUF196463:FUF261995 FKJ196463:FKJ261995 FAN196463:FAN261995 EQR196463:EQR261995 EGV196463:EGV261995 DWZ196463:DWZ261995 DND196463:DND261995 DDH196463:DDH261995 CTL196463:CTL261995 CJP196463:CJP261995 BZT196463:BZT261995 BPX196463:BPX261995 BGB196463:BGB261995 AWF196463:AWF261995 AMJ196463:AMJ261995 ACN196463:ACN261995 SR196463:SR261995 IV196463:IV261995 A196463:A261995 WVH130927:WVH196459 WLL130927:WLL196459 WBP130927:WBP196459 VRT130927:VRT196459 VHX130927:VHX196459 UYB130927:UYB196459 UOF130927:UOF196459 UEJ130927:UEJ196459 TUN130927:TUN196459 TKR130927:TKR196459 TAV130927:TAV196459 SQZ130927:SQZ196459 SHD130927:SHD196459 RXH130927:RXH196459 RNL130927:RNL196459 RDP130927:RDP196459 QTT130927:QTT196459 QJX130927:QJX196459 QAB130927:QAB196459 PQF130927:PQF196459 PGJ130927:PGJ196459 OWN130927:OWN196459 OMR130927:OMR196459 OCV130927:OCV196459 NSZ130927:NSZ196459 NJD130927:NJD196459 MZH130927:MZH196459 MPL130927:MPL196459 MFP130927:MFP196459 LVT130927:LVT196459 LLX130927:LLX196459 LCB130927:LCB196459 KSF130927:KSF196459 KIJ130927:KIJ196459 JYN130927:JYN196459 JOR130927:JOR196459 JEV130927:JEV196459 IUZ130927:IUZ196459 ILD130927:ILD196459 IBH130927:IBH196459 HRL130927:HRL196459 HHP130927:HHP196459 GXT130927:GXT196459 GNX130927:GNX196459 GEB130927:GEB196459 FUF130927:FUF196459 FKJ130927:FKJ196459 FAN130927:FAN196459 EQR130927:EQR196459 EGV130927:EGV196459 DWZ130927:DWZ196459 DND130927:DND196459 DDH130927:DDH196459 CTL130927:CTL196459 CJP130927:CJP196459 BZT130927:BZT196459 BPX130927:BPX196459 BGB130927:BGB196459 AWF130927:AWF196459 AMJ130927:AMJ196459 ACN130927:ACN196459 SR130927:SR196459 IV130927:IV196459 A130927:A196459 WVH65391:WVH130923 WLL65391:WLL130923 WBP65391:WBP130923 VRT65391:VRT130923 VHX65391:VHX130923 UYB65391:UYB130923 UOF65391:UOF130923 UEJ65391:UEJ130923 TUN65391:TUN130923 TKR65391:TKR130923 TAV65391:TAV130923 SQZ65391:SQZ130923 SHD65391:SHD130923 RXH65391:RXH130923 RNL65391:RNL130923 RDP65391:RDP130923 QTT65391:QTT130923 QJX65391:QJX130923 QAB65391:QAB130923 PQF65391:PQF130923 PGJ65391:PGJ130923 OWN65391:OWN130923 OMR65391:OMR130923 OCV65391:OCV130923 NSZ65391:NSZ130923 NJD65391:NJD130923 MZH65391:MZH130923 MPL65391:MPL130923 MFP65391:MFP130923 LVT65391:LVT130923 LLX65391:LLX130923 LCB65391:LCB130923 KSF65391:KSF130923 KIJ65391:KIJ130923 JYN65391:JYN130923 JOR65391:JOR130923 JEV65391:JEV130923 IUZ65391:IUZ130923 ILD65391:ILD130923 IBH65391:IBH130923 HRL65391:HRL130923 HHP65391:HHP130923 GXT65391:GXT130923 GNX65391:GNX130923 GEB65391:GEB130923 FUF65391:FUF130923 FKJ65391:FKJ130923 FAN65391:FAN130923 EQR65391:EQR130923 EGV65391:EGV130923 DWZ65391:DWZ130923 DND65391:DND130923 DDH65391:DDH130923 CTL65391:CTL130923 CJP65391:CJP130923 BZT65391:BZT130923 BPX65391:BPX130923 BGB65391:BGB130923 AWF65391:AWF130923 AMJ65391:AMJ130923 ACN65391:ACN130923 SR65391:SR130923 IV65391:IV130923 WVH1:WVH65387 WLL1:WLL65387 WBP1:WBP65387 VRT1:VRT65387 VHX1:VHX65387 UYB1:UYB65387 UOF1:UOF65387 UEJ1:UEJ65387 TUN1:TUN65387 TKR1:TKR65387 TAV1:TAV65387 SQZ1:SQZ65387 SHD1:SHD65387 RXH1:RXH65387 RNL1:RNL65387 RDP1:RDP65387 QTT1:QTT65387 QJX1:QJX65387 QAB1:QAB65387 PQF1:PQF65387 PGJ1:PGJ65387 OWN1:OWN65387 OMR1:OMR65387 OCV1:OCV65387 NSZ1:NSZ65387 NJD1:NJD65387 MZH1:MZH65387 MPL1:MPL65387 MFP1:MFP65387 LVT1:LVT65387 LLX1:LLX65387 LCB1:LCB65387 KSF1:KSF65387 KIJ1:KIJ65387 JYN1:JYN65387 JOR1:JOR65387 JEV1:JEV65387 IUZ1:IUZ65387 ILD1:ILD65387 IBH1:IBH65387 HRL1:HRL65387 HHP1:HHP65387 GXT1:GXT65387 GNX1:GNX65387 GEB1:GEB65387 FUF1:FUF65387 FKJ1:FKJ65387 FAN1:FAN65387 EQR1:EQR65387 EGV1:EGV65387 DWZ1:DWZ65387 DND1:DND65387 DDH1:DDH65387 CTL1:CTL65387 CJP1:CJP65387 BZT1:BZT65387 BPX1:BPX65387 BGB1:BGB65387 AWF1:AWF65387 AMJ1:AMJ65387 ACN1:ACN65387 SR1:SR65387 IV1:IV65387 A1:A65387 M65389:M130923 JH1:JH65387 WVT982893:WVT1048576 WLX982893:WLX1048576 WCB982893:WCB1048576 VSF982893:VSF1048576 VIJ982893:VIJ1048576 UYN982893:UYN1048576 UOR982893:UOR1048576 UEV982893:UEV1048576 TUZ982893:TUZ1048576 TLD982893:TLD1048576 TBH982893:TBH1048576 SRL982893:SRL1048576 SHP982893:SHP1048576 RXT982893:RXT1048576 RNX982893:RNX1048576 REB982893:REB1048576 QUF982893:QUF1048576 QKJ982893:QKJ1048576 QAN982893:QAN1048576 PQR982893:PQR1048576 PGV982893:PGV1048576 OWZ982893:OWZ1048576 OND982893:OND1048576 ODH982893:ODH1048576 NTL982893:NTL1048576 NJP982893:NJP1048576 MZT982893:MZT1048576 MPX982893:MPX1048576 MGB982893:MGB1048576 LWF982893:LWF1048576 LMJ982893:LMJ1048576 LCN982893:LCN1048576 KSR982893:KSR1048576 KIV982893:KIV1048576 JYZ982893:JYZ1048576 JPD982893:JPD1048576 JFH982893:JFH1048576 IVL982893:IVL1048576 ILP982893:ILP1048576 IBT982893:IBT1048576 HRX982893:HRX1048576 HIB982893:HIB1048576 GYF982893:GYF1048576 GOJ982893:GOJ1048576 GEN982893:GEN1048576 FUR982893:FUR1048576 FKV982893:FKV1048576 FAZ982893:FAZ1048576 ERD982893:ERD1048576 EHH982893:EHH1048576 DXL982893:DXL1048576 DNP982893:DNP1048576 DDT982893:DDT1048576 CTX982893:CTX1048576 CKB982893:CKB1048576 CAF982893:CAF1048576 BQJ982893:BQJ1048576 BGN982893:BGN1048576 AWR982893:AWR1048576 AMV982893:AMV1048576 ACZ982893:ACZ1048576 TD982893:TD1048576 JH982893:JH1048576 M982893:M1048576 WVT917357:WVT982891 WLX917357:WLX982891 WCB917357:WCB982891 VSF917357:VSF982891 VIJ917357:VIJ982891 UYN917357:UYN982891 UOR917357:UOR982891 UEV917357:UEV982891 TUZ917357:TUZ982891 TLD917357:TLD982891 TBH917357:TBH982891 SRL917357:SRL982891 SHP917357:SHP982891 RXT917357:RXT982891 RNX917357:RNX982891 REB917357:REB982891 QUF917357:QUF982891 QKJ917357:QKJ982891 QAN917357:QAN982891 PQR917357:PQR982891 PGV917357:PGV982891 OWZ917357:OWZ982891 OND917357:OND982891 ODH917357:ODH982891 NTL917357:NTL982891 NJP917357:NJP982891 MZT917357:MZT982891 MPX917357:MPX982891 MGB917357:MGB982891 LWF917357:LWF982891 LMJ917357:LMJ982891 LCN917357:LCN982891 KSR917357:KSR982891 KIV917357:KIV982891 JYZ917357:JYZ982891 JPD917357:JPD982891 JFH917357:JFH982891 IVL917357:IVL982891 ILP917357:ILP982891 IBT917357:IBT982891 HRX917357:HRX982891 HIB917357:HIB982891 GYF917357:GYF982891 GOJ917357:GOJ982891 GEN917357:GEN982891 FUR917357:FUR982891 FKV917357:FKV982891 FAZ917357:FAZ982891 ERD917357:ERD982891 EHH917357:EHH982891 DXL917357:DXL982891 DNP917357:DNP982891 DDT917357:DDT982891 CTX917357:CTX982891 CKB917357:CKB982891 CAF917357:CAF982891 BQJ917357:BQJ982891 BGN917357:BGN982891 AWR917357:AWR982891 AMV917357:AMV982891 ACZ917357:ACZ982891 TD917357:TD982891 JH917357:JH982891 M917357:M982891 WVT851821:WVT917355 WLX851821:WLX917355 WCB851821:WCB917355 VSF851821:VSF917355 VIJ851821:VIJ917355 UYN851821:UYN917355 UOR851821:UOR917355 UEV851821:UEV917355 TUZ851821:TUZ917355 TLD851821:TLD917355 TBH851821:TBH917355 SRL851821:SRL917355 SHP851821:SHP917355 RXT851821:RXT917355 RNX851821:RNX917355 REB851821:REB917355 QUF851821:QUF917355 QKJ851821:QKJ917355 QAN851821:QAN917355 PQR851821:PQR917355 PGV851821:PGV917355 OWZ851821:OWZ917355 OND851821:OND917355 ODH851821:ODH917355 NTL851821:NTL917355 NJP851821:NJP917355 MZT851821:MZT917355 MPX851821:MPX917355 MGB851821:MGB917355 LWF851821:LWF917355 LMJ851821:LMJ917355 LCN851821:LCN917355 KSR851821:KSR917355 KIV851821:KIV917355 JYZ851821:JYZ917355 JPD851821:JPD917355 JFH851821:JFH917355 IVL851821:IVL917355 ILP851821:ILP917355 IBT851821:IBT917355 HRX851821:HRX917355 HIB851821:HIB917355 GYF851821:GYF917355 GOJ851821:GOJ917355 GEN851821:GEN917355 FUR851821:FUR917355 FKV851821:FKV917355 FAZ851821:FAZ917355 ERD851821:ERD917355 EHH851821:EHH917355 DXL851821:DXL917355 DNP851821:DNP917355 DDT851821:DDT917355 CTX851821:CTX917355 CKB851821:CKB917355 CAF851821:CAF917355 BQJ851821:BQJ917355 BGN851821:BGN917355 AWR851821:AWR917355 AMV851821:AMV917355 ACZ851821:ACZ917355 TD851821:TD917355 JH851821:JH917355 M851821:M917355 WVT786285:WVT851819 WLX786285:WLX851819 WCB786285:WCB851819 VSF786285:VSF851819 VIJ786285:VIJ851819 UYN786285:UYN851819 UOR786285:UOR851819 UEV786285:UEV851819 TUZ786285:TUZ851819 TLD786285:TLD851819 TBH786285:TBH851819 SRL786285:SRL851819 SHP786285:SHP851819 RXT786285:RXT851819 RNX786285:RNX851819 REB786285:REB851819 QUF786285:QUF851819 QKJ786285:QKJ851819 QAN786285:QAN851819 PQR786285:PQR851819 PGV786285:PGV851819 OWZ786285:OWZ851819 OND786285:OND851819 ODH786285:ODH851819 NTL786285:NTL851819 NJP786285:NJP851819 MZT786285:MZT851819 MPX786285:MPX851819 MGB786285:MGB851819 LWF786285:LWF851819 LMJ786285:LMJ851819 LCN786285:LCN851819 KSR786285:KSR851819 KIV786285:KIV851819 JYZ786285:JYZ851819 JPD786285:JPD851819 JFH786285:JFH851819 IVL786285:IVL851819 ILP786285:ILP851819 IBT786285:IBT851819 HRX786285:HRX851819 HIB786285:HIB851819 GYF786285:GYF851819 GOJ786285:GOJ851819 GEN786285:GEN851819 FUR786285:FUR851819 FKV786285:FKV851819 FAZ786285:FAZ851819 ERD786285:ERD851819 EHH786285:EHH851819 DXL786285:DXL851819 DNP786285:DNP851819 DDT786285:DDT851819 CTX786285:CTX851819 CKB786285:CKB851819 CAF786285:CAF851819 BQJ786285:BQJ851819 BGN786285:BGN851819 AWR786285:AWR851819 AMV786285:AMV851819 ACZ786285:ACZ851819 TD786285:TD851819 JH786285:JH851819 M786285:M851819 WVT720749:WVT786283 WLX720749:WLX786283 WCB720749:WCB786283 VSF720749:VSF786283 VIJ720749:VIJ786283 UYN720749:UYN786283 UOR720749:UOR786283 UEV720749:UEV786283 TUZ720749:TUZ786283 TLD720749:TLD786283 TBH720749:TBH786283 SRL720749:SRL786283 SHP720749:SHP786283 RXT720749:RXT786283 RNX720749:RNX786283 REB720749:REB786283 QUF720749:QUF786283 QKJ720749:QKJ786283 QAN720749:QAN786283 PQR720749:PQR786283 PGV720749:PGV786283 OWZ720749:OWZ786283 OND720749:OND786283 ODH720749:ODH786283 NTL720749:NTL786283 NJP720749:NJP786283 MZT720749:MZT786283 MPX720749:MPX786283 MGB720749:MGB786283 LWF720749:LWF786283 LMJ720749:LMJ786283 LCN720749:LCN786283 KSR720749:KSR786283 KIV720749:KIV786283 JYZ720749:JYZ786283 JPD720749:JPD786283 JFH720749:JFH786283 IVL720749:IVL786283 ILP720749:ILP786283 IBT720749:IBT786283 HRX720749:HRX786283 HIB720749:HIB786283 GYF720749:GYF786283 GOJ720749:GOJ786283 GEN720749:GEN786283 FUR720749:FUR786283 FKV720749:FKV786283 FAZ720749:FAZ786283 ERD720749:ERD786283 EHH720749:EHH786283 DXL720749:DXL786283 DNP720749:DNP786283 DDT720749:DDT786283 CTX720749:CTX786283 CKB720749:CKB786283 CAF720749:CAF786283 BQJ720749:BQJ786283 BGN720749:BGN786283 AWR720749:AWR786283 AMV720749:AMV786283 ACZ720749:ACZ786283 TD720749:TD786283 JH720749:JH786283 M720749:M786283 WVT655213:WVT720747 WLX655213:WLX720747 WCB655213:WCB720747 VSF655213:VSF720747 VIJ655213:VIJ720747 UYN655213:UYN720747 UOR655213:UOR720747 UEV655213:UEV720747 TUZ655213:TUZ720747 TLD655213:TLD720747 TBH655213:TBH720747 SRL655213:SRL720747 SHP655213:SHP720747 RXT655213:RXT720747 RNX655213:RNX720747 REB655213:REB720747 QUF655213:QUF720747 QKJ655213:QKJ720747 QAN655213:QAN720747 PQR655213:PQR720747 PGV655213:PGV720747 OWZ655213:OWZ720747 OND655213:OND720747 ODH655213:ODH720747 NTL655213:NTL720747 NJP655213:NJP720747 MZT655213:MZT720747 MPX655213:MPX720747 MGB655213:MGB720747 LWF655213:LWF720747 LMJ655213:LMJ720747 LCN655213:LCN720747 KSR655213:KSR720747 KIV655213:KIV720747 JYZ655213:JYZ720747 JPD655213:JPD720747 JFH655213:JFH720747 IVL655213:IVL720747 ILP655213:ILP720747 IBT655213:IBT720747 HRX655213:HRX720747 HIB655213:HIB720747 GYF655213:GYF720747 GOJ655213:GOJ720747 GEN655213:GEN720747 FUR655213:FUR720747 FKV655213:FKV720747 FAZ655213:FAZ720747 ERD655213:ERD720747 EHH655213:EHH720747 DXL655213:DXL720747 DNP655213:DNP720747 DDT655213:DDT720747 CTX655213:CTX720747 CKB655213:CKB720747 CAF655213:CAF720747 BQJ655213:BQJ720747 BGN655213:BGN720747 AWR655213:AWR720747 AMV655213:AMV720747 ACZ655213:ACZ720747 TD655213:TD720747 JH655213:JH720747 M655213:M720747 WVT589677:WVT655211 WLX589677:WLX655211 WCB589677:WCB655211 VSF589677:VSF655211 VIJ589677:VIJ655211 UYN589677:UYN655211 UOR589677:UOR655211 UEV589677:UEV655211 TUZ589677:TUZ655211 TLD589677:TLD655211 TBH589677:TBH655211 SRL589677:SRL655211 SHP589677:SHP655211 RXT589677:RXT655211 RNX589677:RNX655211 REB589677:REB655211 QUF589677:QUF655211 QKJ589677:QKJ655211 QAN589677:QAN655211 PQR589677:PQR655211 PGV589677:PGV655211 OWZ589677:OWZ655211 OND589677:OND655211 ODH589677:ODH655211 NTL589677:NTL655211 NJP589677:NJP655211 MZT589677:MZT655211 MPX589677:MPX655211 MGB589677:MGB655211 LWF589677:LWF655211 LMJ589677:LMJ655211 LCN589677:LCN655211 KSR589677:KSR655211 KIV589677:KIV655211 JYZ589677:JYZ655211 JPD589677:JPD655211 JFH589677:JFH655211 IVL589677:IVL655211 ILP589677:ILP655211 IBT589677:IBT655211 HRX589677:HRX655211 HIB589677:HIB655211 GYF589677:GYF655211 GOJ589677:GOJ655211 GEN589677:GEN655211 FUR589677:FUR655211 FKV589677:FKV655211 FAZ589677:FAZ655211 ERD589677:ERD655211 EHH589677:EHH655211 DXL589677:DXL655211 DNP589677:DNP655211 DDT589677:DDT655211 CTX589677:CTX655211 CKB589677:CKB655211 CAF589677:CAF655211 BQJ589677:BQJ655211 BGN589677:BGN655211 AWR589677:AWR655211 AMV589677:AMV655211 ACZ589677:ACZ655211 TD589677:TD655211 JH589677:JH655211 M589677:M655211 WVT524141:WVT589675 WLX524141:WLX589675 WCB524141:WCB589675 VSF524141:VSF589675 VIJ524141:VIJ589675 UYN524141:UYN589675 UOR524141:UOR589675 UEV524141:UEV589675 TUZ524141:TUZ589675 TLD524141:TLD589675 TBH524141:TBH589675 SRL524141:SRL589675 SHP524141:SHP589675 RXT524141:RXT589675 RNX524141:RNX589675 REB524141:REB589675 QUF524141:QUF589675 QKJ524141:QKJ589675 QAN524141:QAN589675 PQR524141:PQR589675 PGV524141:PGV589675 OWZ524141:OWZ589675 OND524141:OND589675 ODH524141:ODH589675 NTL524141:NTL589675 NJP524141:NJP589675 MZT524141:MZT589675 MPX524141:MPX589675 MGB524141:MGB589675 LWF524141:LWF589675 LMJ524141:LMJ589675 LCN524141:LCN589675 KSR524141:KSR589675 KIV524141:KIV589675 JYZ524141:JYZ589675 JPD524141:JPD589675 JFH524141:JFH589675 IVL524141:IVL589675 ILP524141:ILP589675 IBT524141:IBT589675 HRX524141:HRX589675 HIB524141:HIB589675 GYF524141:GYF589675 GOJ524141:GOJ589675 GEN524141:GEN589675 FUR524141:FUR589675 FKV524141:FKV589675 FAZ524141:FAZ589675 ERD524141:ERD589675 EHH524141:EHH589675 DXL524141:DXL589675 DNP524141:DNP589675 DDT524141:DDT589675 CTX524141:CTX589675 CKB524141:CKB589675 CAF524141:CAF589675 BQJ524141:BQJ589675 BGN524141:BGN589675 AWR524141:AWR589675 AMV524141:AMV589675 ACZ524141:ACZ589675 TD524141:TD589675 JH524141:JH589675 M524141:M589675 WVT458605:WVT524139 WLX458605:WLX524139 WCB458605:WCB524139 VSF458605:VSF524139 VIJ458605:VIJ524139 UYN458605:UYN524139 UOR458605:UOR524139 UEV458605:UEV524139 TUZ458605:TUZ524139 TLD458605:TLD524139 TBH458605:TBH524139 SRL458605:SRL524139 SHP458605:SHP524139 RXT458605:RXT524139 RNX458605:RNX524139 REB458605:REB524139 QUF458605:QUF524139 QKJ458605:QKJ524139 QAN458605:QAN524139 PQR458605:PQR524139 PGV458605:PGV524139 OWZ458605:OWZ524139 OND458605:OND524139 ODH458605:ODH524139 NTL458605:NTL524139 NJP458605:NJP524139 MZT458605:MZT524139 MPX458605:MPX524139 MGB458605:MGB524139 LWF458605:LWF524139 LMJ458605:LMJ524139 LCN458605:LCN524139 KSR458605:KSR524139 KIV458605:KIV524139 JYZ458605:JYZ524139 JPD458605:JPD524139 JFH458605:JFH524139 IVL458605:IVL524139 ILP458605:ILP524139 IBT458605:IBT524139 HRX458605:HRX524139 HIB458605:HIB524139 GYF458605:GYF524139 GOJ458605:GOJ524139 GEN458605:GEN524139 FUR458605:FUR524139 FKV458605:FKV524139 FAZ458605:FAZ524139 ERD458605:ERD524139 EHH458605:EHH524139 DXL458605:DXL524139 DNP458605:DNP524139 DDT458605:DDT524139 CTX458605:CTX524139 CKB458605:CKB524139 CAF458605:CAF524139 BQJ458605:BQJ524139 BGN458605:BGN524139 AWR458605:AWR524139 AMV458605:AMV524139 ACZ458605:ACZ524139 TD458605:TD524139 JH458605:JH524139 M458605:M524139 WVT393069:WVT458603 WLX393069:WLX458603 WCB393069:WCB458603 VSF393069:VSF458603 VIJ393069:VIJ458603 UYN393069:UYN458603 UOR393069:UOR458603 UEV393069:UEV458603 TUZ393069:TUZ458603 TLD393069:TLD458603 TBH393069:TBH458603 SRL393069:SRL458603 SHP393069:SHP458603 RXT393069:RXT458603 RNX393069:RNX458603 REB393069:REB458603 QUF393069:QUF458603 QKJ393069:QKJ458603 QAN393069:QAN458603 PQR393069:PQR458603 PGV393069:PGV458603 OWZ393069:OWZ458603 OND393069:OND458603 ODH393069:ODH458603 NTL393069:NTL458603 NJP393069:NJP458603 MZT393069:MZT458603 MPX393069:MPX458603 MGB393069:MGB458603 LWF393069:LWF458603 LMJ393069:LMJ458603 LCN393069:LCN458603 KSR393069:KSR458603 KIV393069:KIV458603 JYZ393069:JYZ458603 JPD393069:JPD458603 JFH393069:JFH458603 IVL393069:IVL458603 ILP393069:ILP458603 IBT393069:IBT458603 HRX393069:HRX458603 HIB393069:HIB458603 GYF393069:GYF458603 GOJ393069:GOJ458603 GEN393069:GEN458603 FUR393069:FUR458603 FKV393069:FKV458603 FAZ393069:FAZ458603 ERD393069:ERD458603 EHH393069:EHH458603 DXL393069:DXL458603 DNP393069:DNP458603 DDT393069:DDT458603 CTX393069:CTX458603 CKB393069:CKB458603 CAF393069:CAF458603 BQJ393069:BQJ458603 BGN393069:BGN458603 AWR393069:AWR458603 AMV393069:AMV458603 ACZ393069:ACZ458603 TD393069:TD458603 JH393069:JH458603 M393069:M458603 WVT327533:WVT393067 WLX327533:WLX393067 WCB327533:WCB393067 VSF327533:VSF393067 VIJ327533:VIJ393067 UYN327533:UYN393067 UOR327533:UOR393067 UEV327533:UEV393067 TUZ327533:TUZ393067 TLD327533:TLD393067 TBH327533:TBH393067 SRL327533:SRL393067 SHP327533:SHP393067 RXT327533:RXT393067 RNX327533:RNX393067 REB327533:REB393067 QUF327533:QUF393067 QKJ327533:QKJ393067 QAN327533:QAN393067 PQR327533:PQR393067 PGV327533:PGV393067 OWZ327533:OWZ393067 OND327533:OND393067 ODH327533:ODH393067 NTL327533:NTL393067 NJP327533:NJP393067 MZT327533:MZT393067 MPX327533:MPX393067 MGB327533:MGB393067 LWF327533:LWF393067 LMJ327533:LMJ393067 LCN327533:LCN393067 KSR327533:KSR393067 KIV327533:KIV393067 JYZ327533:JYZ393067 JPD327533:JPD393067 JFH327533:JFH393067 IVL327533:IVL393067 ILP327533:ILP393067 IBT327533:IBT393067 HRX327533:HRX393067 HIB327533:HIB393067 GYF327533:GYF393067 GOJ327533:GOJ393067 GEN327533:GEN393067 FUR327533:FUR393067 FKV327533:FKV393067 FAZ327533:FAZ393067 ERD327533:ERD393067 EHH327533:EHH393067 DXL327533:DXL393067 DNP327533:DNP393067 DDT327533:DDT393067 CTX327533:CTX393067 CKB327533:CKB393067 CAF327533:CAF393067 BQJ327533:BQJ393067 BGN327533:BGN393067 AWR327533:AWR393067 AMV327533:AMV393067 ACZ327533:ACZ393067 TD327533:TD393067 JH327533:JH393067 M327533:M393067 WVT261997:WVT327531 WLX261997:WLX327531 WCB261997:WCB327531 VSF261997:VSF327531 VIJ261997:VIJ327531 UYN261997:UYN327531 UOR261997:UOR327531 UEV261997:UEV327531 TUZ261997:TUZ327531 TLD261997:TLD327531 TBH261997:TBH327531 SRL261997:SRL327531 SHP261997:SHP327531 RXT261997:RXT327531 RNX261997:RNX327531 REB261997:REB327531 QUF261997:QUF327531 QKJ261997:QKJ327531 QAN261997:QAN327531 PQR261997:PQR327531 PGV261997:PGV327531 OWZ261997:OWZ327531 OND261997:OND327531 ODH261997:ODH327531 NTL261997:NTL327531 NJP261997:NJP327531 MZT261997:MZT327531 MPX261997:MPX327531 MGB261997:MGB327531 LWF261997:LWF327531 LMJ261997:LMJ327531 LCN261997:LCN327531 KSR261997:KSR327531 KIV261997:KIV327531 JYZ261997:JYZ327531 JPD261997:JPD327531 JFH261997:JFH327531 IVL261997:IVL327531 ILP261997:ILP327531 IBT261997:IBT327531 HRX261997:HRX327531 HIB261997:HIB327531 GYF261997:GYF327531 GOJ261997:GOJ327531 GEN261997:GEN327531 FUR261997:FUR327531 FKV261997:FKV327531 FAZ261997:FAZ327531 ERD261997:ERD327531 EHH261997:EHH327531 DXL261997:DXL327531 DNP261997:DNP327531 DDT261997:DDT327531 CTX261997:CTX327531 CKB261997:CKB327531 CAF261997:CAF327531 BQJ261997:BQJ327531 BGN261997:BGN327531 AWR261997:AWR327531 AMV261997:AMV327531 ACZ261997:ACZ327531 TD261997:TD327531 JH261997:JH327531 M261997:M327531 WVT196461:WVT261995 WLX196461:WLX261995 WCB196461:WCB261995 VSF196461:VSF261995 VIJ196461:VIJ261995 UYN196461:UYN261995 UOR196461:UOR261995 UEV196461:UEV261995 TUZ196461:TUZ261995 TLD196461:TLD261995 TBH196461:TBH261995 SRL196461:SRL261995 SHP196461:SHP261995 RXT196461:RXT261995 RNX196461:RNX261995 REB196461:REB261995 QUF196461:QUF261995 QKJ196461:QKJ261995 QAN196461:QAN261995 PQR196461:PQR261995 PGV196461:PGV261995 OWZ196461:OWZ261995 OND196461:OND261995 ODH196461:ODH261995 NTL196461:NTL261995 NJP196461:NJP261995 MZT196461:MZT261995 MPX196461:MPX261995 MGB196461:MGB261995 LWF196461:LWF261995 LMJ196461:LMJ261995 LCN196461:LCN261995 KSR196461:KSR261995 KIV196461:KIV261995 JYZ196461:JYZ261995 JPD196461:JPD261995 JFH196461:JFH261995 IVL196461:IVL261995 ILP196461:ILP261995 IBT196461:IBT261995 HRX196461:HRX261995 HIB196461:HIB261995 GYF196461:GYF261995 GOJ196461:GOJ261995 GEN196461:GEN261995 FUR196461:FUR261995 FKV196461:FKV261995 FAZ196461:FAZ261995 ERD196461:ERD261995 EHH196461:EHH261995 DXL196461:DXL261995 DNP196461:DNP261995 DDT196461:DDT261995 CTX196461:CTX261995 CKB196461:CKB261995 CAF196461:CAF261995 BQJ196461:BQJ261995 BGN196461:BGN261995 AWR196461:AWR261995 AMV196461:AMV261995 ACZ196461:ACZ261995 TD196461:TD261995 JH196461:JH261995 M196461:M261995 WVT130925:WVT196459 WLX130925:WLX196459 WCB130925:WCB196459 VSF130925:VSF196459 VIJ130925:VIJ196459 UYN130925:UYN196459 UOR130925:UOR196459 UEV130925:UEV196459 TUZ130925:TUZ196459 TLD130925:TLD196459 TBH130925:TBH196459 SRL130925:SRL196459 SHP130925:SHP196459 RXT130925:RXT196459 RNX130925:RNX196459 REB130925:REB196459 QUF130925:QUF196459 QKJ130925:QKJ196459 QAN130925:QAN196459 PQR130925:PQR196459 PGV130925:PGV196459 OWZ130925:OWZ196459 OND130925:OND196459 ODH130925:ODH196459 NTL130925:NTL196459 NJP130925:NJP196459 MZT130925:MZT196459 MPX130925:MPX196459 MGB130925:MGB196459 LWF130925:LWF196459 LMJ130925:LMJ196459 LCN130925:LCN196459 KSR130925:KSR196459 KIV130925:KIV196459 JYZ130925:JYZ196459 JPD130925:JPD196459 JFH130925:JFH196459 IVL130925:IVL196459 ILP130925:ILP196459 IBT130925:IBT196459 HRX130925:HRX196459 HIB130925:HIB196459 GYF130925:GYF196459 GOJ130925:GOJ196459 GEN130925:GEN196459 FUR130925:FUR196459 FKV130925:FKV196459 FAZ130925:FAZ196459 ERD130925:ERD196459 EHH130925:EHH196459 DXL130925:DXL196459 DNP130925:DNP196459 DDT130925:DDT196459 CTX130925:CTX196459 CKB130925:CKB196459 CAF130925:CAF196459 BQJ130925:BQJ196459 BGN130925:BGN196459 AWR130925:AWR196459 AMV130925:AMV196459 ACZ130925:ACZ196459 TD130925:TD196459 JH130925:JH196459 M130925:M196459 WVT65389:WVT130923 WLX65389:WLX130923 WCB65389:WCB130923 VSF65389:VSF130923 VIJ65389:VIJ130923 UYN65389:UYN130923 UOR65389:UOR130923 UEV65389:UEV130923 TUZ65389:TUZ130923 TLD65389:TLD130923 TBH65389:TBH130923 SRL65389:SRL130923 SHP65389:SHP130923 RXT65389:RXT130923 RNX65389:RNX130923 REB65389:REB130923 QUF65389:QUF130923 QKJ65389:QKJ130923 QAN65389:QAN130923 PQR65389:PQR130923 PGV65389:PGV130923 OWZ65389:OWZ130923 OND65389:OND130923 ODH65389:ODH130923 NTL65389:NTL130923 NJP65389:NJP130923 MZT65389:MZT130923 MPX65389:MPX130923 MGB65389:MGB130923 LWF65389:LWF130923 LMJ65389:LMJ130923 LCN65389:LCN130923 KSR65389:KSR130923 KIV65389:KIV130923 JYZ65389:JYZ130923 JPD65389:JPD130923 JFH65389:JFH130923 IVL65389:IVL130923 ILP65389:ILP130923 IBT65389:IBT130923 HRX65389:HRX130923 HIB65389:HIB130923 GYF65389:GYF130923 GOJ65389:GOJ130923 GEN65389:GEN130923 FUR65389:FUR130923 FKV65389:FKV130923 FAZ65389:FAZ130923 ERD65389:ERD130923 EHH65389:EHH130923 DXL65389:DXL130923 DNP65389:DNP130923 DDT65389:DDT130923 CTX65389:CTX130923 CKB65389:CKB130923 CAF65389:CAF130923 BQJ65389:BQJ130923 BGN65389:BGN130923 AWR65389:AWR130923 AMV65389:AMV130923 ACZ65389:ACZ130923 TD65389:TD130923 JH65389:JH130923 WLX1:WLX65387 WCB1:WCB65387 VSF1:VSF65387 VIJ1:VIJ65387 UYN1:UYN65387 UOR1:UOR65387 UEV1:UEV65387 TUZ1:TUZ65387 TLD1:TLD65387 TBH1:TBH65387 SRL1:SRL65387 SHP1:SHP65387 RXT1:RXT65387 RNX1:RNX65387 REB1:REB65387 QUF1:QUF65387 QKJ1:QKJ65387 QAN1:QAN65387 PQR1:PQR65387 PGV1:PGV65387 OWZ1:OWZ65387 OND1:OND65387 ODH1:ODH65387 NTL1:NTL65387 NJP1:NJP65387 MZT1:MZT65387 MPX1:MPX65387 MGB1:MGB65387 LWF1:LWF65387 LMJ1:LMJ65387 LCN1:LCN65387 KSR1:KSR65387 KIV1:KIV65387 JYZ1:JYZ65387 JPD1:JPD65387 JFH1:JFH65387 IVL1:IVL65387 ILP1:ILP65387 IBT1:IBT65387 HRX1:HRX65387 HIB1:HIB65387 GYF1:GYF65387 GOJ1:GOJ65387 GEN1:GEN65387 FUR1:FUR65387 FKV1:FKV65387 FAZ1:FAZ65387 ERD1:ERD65387 EHH1:EHH65387 DXL1:DXL65387 DNP1:DNP65387 DDT1:DDT65387 CTX1:CTX65387 CKB1:CKB65387 CAF1:CAF65387 BQJ1:BQJ65387 BGN1:BGN65387 AWR1:AWR65387 AMV1:AMV65387 ACZ1:ACZ65387 TD1:TD65387 WVT1:WVT65387 M1:M65387 G65389:H130923 JB1:JC65387 WVN982893:WVO1048576 WLR982893:WLS1048576 WBV982893:WBW1048576 VRZ982893:VSA1048576 VID982893:VIE1048576 UYH982893:UYI1048576 UOL982893:UOM1048576 UEP982893:UEQ1048576 TUT982893:TUU1048576 TKX982893:TKY1048576 TBB982893:TBC1048576 SRF982893:SRG1048576 SHJ982893:SHK1048576 RXN982893:RXO1048576 RNR982893:RNS1048576 RDV982893:RDW1048576 QTZ982893:QUA1048576 QKD982893:QKE1048576 QAH982893:QAI1048576 PQL982893:PQM1048576 PGP982893:PGQ1048576 OWT982893:OWU1048576 OMX982893:OMY1048576 ODB982893:ODC1048576 NTF982893:NTG1048576 NJJ982893:NJK1048576 MZN982893:MZO1048576 MPR982893:MPS1048576 MFV982893:MFW1048576 LVZ982893:LWA1048576 LMD982893:LME1048576 LCH982893:LCI1048576 KSL982893:KSM1048576 KIP982893:KIQ1048576 JYT982893:JYU1048576 JOX982893:JOY1048576 JFB982893:JFC1048576 IVF982893:IVG1048576 ILJ982893:ILK1048576 IBN982893:IBO1048576 HRR982893:HRS1048576 HHV982893:HHW1048576 GXZ982893:GYA1048576 GOD982893:GOE1048576 GEH982893:GEI1048576 FUL982893:FUM1048576 FKP982893:FKQ1048576 FAT982893:FAU1048576 EQX982893:EQY1048576 EHB982893:EHC1048576 DXF982893:DXG1048576 DNJ982893:DNK1048576 DDN982893:DDO1048576 CTR982893:CTS1048576 CJV982893:CJW1048576 BZZ982893:CAA1048576 BQD982893:BQE1048576 BGH982893:BGI1048576 AWL982893:AWM1048576 AMP982893:AMQ1048576 ACT982893:ACU1048576 SX982893:SY1048576 JB982893:JC1048576 G982893:H1048576 WVN917357:WVO982891 WLR917357:WLS982891 WBV917357:WBW982891 VRZ917357:VSA982891 VID917357:VIE982891 UYH917357:UYI982891 UOL917357:UOM982891 UEP917357:UEQ982891 TUT917357:TUU982891 TKX917357:TKY982891 TBB917357:TBC982891 SRF917357:SRG982891 SHJ917357:SHK982891 RXN917357:RXO982891 RNR917357:RNS982891 RDV917357:RDW982891 QTZ917357:QUA982891 QKD917357:QKE982891 QAH917357:QAI982891 PQL917357:PQM982891 PGP917357:PGQ982891 OWT917357:OWU982891 OMX917357:OMY982891 ODB917357:ODC982891 NTF917357:NTG982891 NJJ917357:NJK982891 MZN917357:MZO982891 MPR917357:MPS982891 MFV917357:MFW982891 LVZ917357:LWA982891 LMD917357:LME982891 LCH917357:LCI982891 KSL917357:KSM982891 KIP917357:KIQ982891 JYT917357:JYU982891 JOX917357:JOY982891 JFB917357:JFC982891 IVF917357:IVG982891 ILJ917357:ILK982891 IBN917357:IBO982891 HRR917357:HRS982891 HHV917357:HHW982891 GXZ917357:GYA982891 GOD917357:GOE982891 GEH917357:GEI982891 FUL917357:FUM982891 FKP917357:FKQ982891 FAT917357:FAU982891 EQX917357:EQY982891 EHB917357:EHC982891 DXF917357:DXG982891 DNJ917357:DNK982891 DDN917357:DDO982891 CTR917357:CTS982891 CJV917357:CJW982891 BZZ917357:CAA982891 BQD917357:BQE982891 BGH917357:BGI982891 AWL917357:AWM982891 AMP917357:AMQ982891 ACT917357:ACU982891 SX917357:SY982891 JB917357:JC982891 G917357:H982891 WVN851821:WVO917355 WLR851821:WLS917355 WBV851821:WBW917355 VRZ851821:VSA917355 VID851821:VIE917355 UYH851821:UYI917355 UOL851821:UOM917355 UEP851821:UEQ917355 TUT851821:TUU917355 TKX851821:TKY917355 TBB851821:TBC917355 SRF851821:SRG917355 SHJ851821:SHK917355 RXN851821:RXO917355 RNR851821:RNS917355 RDV851821:RDW917355 QTZ851821:QUA917355 QKD851821:QKE917355 QAH851821:QAI917355 PQL851821:PQM917355 PGP851821:PGQ917355 OWT851821:OWU917355 OMX851821:OMY917355 ODB851821:ODC917355 NTF851821:NTG917355 NJJ851821:NJK917355 MZN851821:MZO917355 MPR851821:MPS917355 MFV851821:MFW917355 LVZ851821:LWA917355 LMD851821:LME917355 LCH851821:LCI917355 KSL851821:KSM917355 KIP851821:KIQ917355 JYT851821:JYU917355 JOX851821:JOY917355 JFB851821:JFC917355 IVF851821:IVG917355 ILJ851821:ILK917355 IBN851821:IBO917355 HRR851821:HRS917355 HHV851821:HHW917355 GXZ851821:GYA917355 GOD851821:GOE917355 GEH851821:GEI917355 FUL851821:FUM917355 FKP851821:FKQ917355 FAT851821:FAU917355 EQX851821:EQY917355 EHB851821:EHC917355 DXF851821:DXG917355 DNJ851821:DNK917355 DDN851821:DDO917355 CTR851821:CTS917355 CJV851821:CJW917355 BZZ851821:CAA917355 BQD851821:BQE917355 BGH851821:BGI917355 AWL851821:AWM917355 AMP851821:AMQ917355 ACT851821:ACU917355 SX851821:SY917355 JB851821:JC917355 G851821:H917355 WVN786285:WVO851819 WLR786285:WLS851819 WBV786285:WBW851819 VRZ786285:VSA851819 VID786285:VIE851819 UYH786285:UYI851819 UOL786285:UOM851819 UEP786285:UEQ851819 TUT786285:TUU851819 TKX786285:TKY851819 TBB786285:TBC851819 SRF786285:SRG851819 SHJ786285:SHK851819 RXN786285:RXO851819 RNR786285:RNS851819 RDV786285:RDW851819 QTZ786285:QUA851819 QKD786285:QKE851819 QAH786285:QAI851819 PQL786285:PQM851819 PGP786285:PGQ851819 OWT786285:OWU851819 OMX786285:OMY851819 ODB786285:ODC851819 NTF786285:NTG851819 NJJ786285:NJK851819 MZN786285:MZO851819 MPR786285:MPS851819 MFV786285:MFW851819 LVZ786285:LWA851819 LMD786285:LME851819 LCH786285:LCI851819 KSL786285:KSM851819 KIP786285:KIQ851819 JYT786285:JYU851819 JOX786285:JOY851819 JFB786285:JFC851819 IVF786285:IVG851819 ILJ786285:ILK851819 IBN786285:IBO851819 HRR786285:HRS851819 HHV786285:HHW851819 GXZ786285:GYA851819 GOD786285:GOE851819 GEH786285:GEI851819 FUL786285:FUM851819 FKP786285:FKQ851819 FAT786285:FAU851819 EQX786285:EQY851819 EHB786285:EHC851819 DXF786285:DXG851819 DNJ786285:DNK851819 DDN786285:DDO851819 CTR786285:CTS851819 CJV786285:CJW851819 BZZ786285:CAA851819 BQD786285:BQE851819 BGH786285:BGI851819 AWL786285:AWM851819 AMP786285:AMQ851819 ACT786285:ACU851819 SX786285:SY851819 JB786285:JC851819 G786285:H851819 WVN720749:WVO786283 WLR720749:WLS786283 WBV720749:WBW786283 VRZ720749:VSA786283 VID720749:VIE786283 UYH720749:UYI786283 UOL720749:UOM786283 UEP720749:UEQ786283 TUT720749:TUU786283 TKX720749:TKY786283 TBB720749:TBC786283 SRF720749:SRG786283 SHJ720749:SHK786283 RXN720749:RXO786283 RNR720749:RNS786283 RDV720749:RDW786283 QTZ720749:QUA786283 QKD720749:QKE786283 QAH720749:QAI786283 PQL720749:PQM786283 PGP720749:PGQ786283 OWT720749:OWU786283 OMX720749:OMY786283 ODB720749:ODC786283 NTF720749:NTG786283 NJJ720749:NJK786283 MZN720749:MZO786283 MPR720749:MPS786283 MFV720749:MFW786283 LVZ720749:LWA786283 LMD720749:LME786283 LCH720749:LCI786283 KSL720749:KSM786283 KIP720749:KIQ786283 JYT720749:JYU786283 JOX720749:JOY786283 JFB720749:JFC786283 IVF720749:IVG786283 ILJ720749:ILK786283 IBN720749:IBO786283 HRR720749:HRS786283 HHV720749:HHW786283 GXZ720749:GYA786283 GOD720749:GOE786283 GEH720749:GEI786283 FUL720749:FUM786283 FKP720749:FKQ786283 FAT720749:FAU786283 EQX720749:EQY786283 EHB720749:EHC786283 DXF720749:DXG786283 DNJ720749:DNK786283 DDN720749:DDO786283 CTR720749:CTS786283 CJV720749:CJW786283 BZZ720749:CAA786283 BQD720749:BQE786283 BGH720749:BGI786283 AWL720749:AWM786283 AMP720749:AMQ786283 ACT720749:ACU786283 SX720749:SY786283 JB720749:JC786283 G720749:H786283 WVN655213:WVO720747 WLR655213:WLS720747 WBV655213:WBW720747 VRZ655213:VSA720747 VID655213:VIE720747 UYH655213:UYI720747 UOL655213:UOM720747 UEP655213:UEQ720747 TUT655213:TUU720747 TKX655213:TKY720747 TBB655213:TBC720747 SRF655213:SRG720747 SHJ655213:SHK720747 RXN655213:RXO720747 RNR655213:RNS720747 RDV655213:RDW720747 QTZ655213:QUA720747 QKD655213:QKE720747 QAH655213:QAI720747 PQL655213:PQM720747 PGP655213:PGQ720747 OWT655213:OWU720747 OMX655213:OMY720747 ODB655213:ODC720747 NTF655213:NTG720747 NJJ655213:NJK720747 MZN655213:MZO720747 MPR655213:MPS720747 MFV655213:MFW720747 LVZ655213:LWA720747 LMD655213:LME720747 LCH655213:LCI720747 KSL655213:KSM720747 KIP655213:KIQ720747 JYT655213:JYU720747 JOX655213:JOY720747 JFB655213:JFC720747 IVF655213:IVG720747 ILJ655213:ILK720747 IBN655213:IBO720747 HRR655213:HRS720747 HHV655213:HHW720747 GXZ655213:GYA720747 GOD655213:GOE720747 GEH655213:GEI720747 FUL655213:FUM720747 FKP655213:FKQ720747 FAT655213:FAU720747 EQX655213:EQY720747 EHB655213:EHC720747 DXF655213:DXG720747 DNJ655213:DNK720747 DDN655213:DDO720747 CTR655213:CTS720747 CJV655213:CJW720747 BZZ655213:CAA720747 BQD655213:BQE720747 BGH655213:BGI720747 AWL655213:AWM720747 AMP655213:AMQ720747 ACT655213:ACU720747 SX655213:SY720747 JB655213:JC720747 G655213:H720747 WVN589677:WVO655211 WLR589677:WLS655211 WBV589677:WBW655211 VRZ589677:VSA655211 VID589677:VIE655211 UYH589677:UYI655211 UOL589677:UOM655211 UEP589677:UEQ655211 TUT589677:TUU655211 TKX589677:TKY655211 TBB589677:TBC655211 SRF589677:SRG655211 SHJ589677:SHK655211 RXN589677:RXO655211 RNR589677:RNS655211 RDV589677:RDW655211 QTZ589677:QUA655211 QKD589677:QKE655211 QAH589677:QAI655211 PQL589677:PQM655211 PGP589677:PGQ655211 OWT589677:OWU655211 OMX589677:OMY655211 ODB589677:ODC655211 NTF589677:NTG655211 NJJ589677:NJK655211 MZN589677:MZO655211 MPR589677:MPS655211 MFV589677:MFW655211 LVZ589677:LWA655211 LMD589677:LME655211 LCH589677:LCI655211 KSL589677:KSM655211 KIP589677:KIQ655211 JYT589677:JYU655211 JOX589677:JOY655211 JFB589677:JFC655211 IVF589677:IVG655211 ILJ589677:ILK655211 IBN589677:IBO655211 HRR589677:HRS655211 HHV589677:HHW655211 GXZ589677:GYA655211 GOD589677:GOE655211 GEH589677:GEI655211 FUL589677:FUM655211 FKP589677:FKQ655211 FAT589677:FAU655211 EQX589677:EQY655211 EHB589677:EHC655211 DXF589677:DXG655211 DNJ589677:DNK655211 DDN589677:DDO655211 CTR589677:CTS655211 CJV589677:CJW655211 BZZ589677:CAA655211 BQD589677:BQE655211 BGH589677:BGI655211 AWL589677:AWM655211 AMP589677:AMQ655211 ACT589677:ACU655211 SX589677:SY655211 JB589677:JC655211 G589677:H655211 WVN524141:WVO589675 WLR524141:WLS589675 WBV524141:WBW589675 VRZ524141:VSA589675 VID524141:VIE589675 UYH524141:UYI589675 UOL524141:UOM589675 UEP524141:UEQ589675 TUT524141:TUU589675 TKX524141:TKY589675 TBB524141:TBC589675 SRF524141:SRG589675 SHJ524141:SHK589675 RXN524141:RXO589675 RNR524141:RNS589675 RDV524141:RDW589675 QTZ524141:QUA589675 QKD524141:QKE589675 QAH524141:QAI589675 PQL524141:PQM589675 PGP524141:PGQ589675 OWT524141:OWU589675 OMX524141:OMY589675 ODB524141:ODC589675 NTF524141:NTG589675 NJJ524141:NJK589675 MZN524141:MZO589675 MPR524141:MPS589675 MFV524141:MFW589675 LVZ524141:LWA589675 LMD524141:LME589675 LCH524141:LCI589675 KSL524141:KSM589675 KIP524141:KIQ589675 JYT524141:JYU589675 JOX524141:JOY589675 JFB524141:JFC589675 IVF524141:IVG589675 ILJ524141:ILK589675 IBN524141:IBO589675 HRR524141:HRS589675 HHV524141:HHW589675 GXZ524141:GYA589675 GOD524141:GOE589675 GEH524141:GEI589675 FUL524141:FUM589675 FKP524141:FKQ589675 FAT524141:FAU589675 EQX524141:EQY589675 EHB524141:EHC589675 DXF524141:DXG589675 DNJ524141:DNK589675 DDN524141:DDO589675 CTR524141:CTS589675 CJV524141:CJW589675 BZZ524141:CAA589675 BQD524141:BQE589675 BGH524141:BGI589675 AWL524141:AWM589675 AMP524141:AMQ589675 ACT524141:ACU589675 SX524141:SY589675 JB524141:JC589675 G524141:H589675 WVN458605:WVO524139 WLR458605:WLS524139 WBV458605:WBW524139 VRZ458605:VSA524139 VID458605:VIE524139 UYH458605:UYI524139 UOL458605:UOM524139 UEP458605:UEQ524139 TUT458605:TUU524139 TKX458605:TKY524139 TBB458605:TBC524139 SRF458605:SRG524139 SHJ458605:SHK524139 RXN458605:RXO524139 RNR458605:RNS524139 RDV458605:RDW524139 QTZ458605:QUA524139 QKD458605:QKE524139 QAH458605:QAI524139 PQL458605:PQM524139 PGP458605:PGQ524139 OWT458605:OWU524139 OMX458605:OMY524139 ODB458605:ODC524139 NTF458605:NTG524139 NJJ458605:NJK524139 MZN458605:MZO524139 MPR458605:MPS524139 MFV458605:MFW524139 LVZ458605:LWA524139 LMD458605:LME524139 LCH458605:LCI524139 KSL458605:KSM524139 KIP458605:KIQ524139 JYT458605:JYU524139 JOX458605:JOY524139 JFB458605:JFC524139 IVF458605:IVG524139 ILJ458605:ILK524139 IBN458605:IBO524139 HRR458605:HRS524139 HHV458605:HHW524139 GXZ458605:GYA524139 GOD458605:GOE524139 GEH458605:GEI524139 FUL458605:FUM524139 FKP458605:FKQ524139 FAT458605:FAU524139 EQX458605:EQY524139 EHB458605:EHC524139 DXF458605:DXG524139 DNJ458605:DNK524139 DDN458605:DDO524139 CTR458605:CTS524139 CJV458605:CJW524139 BZZ458605:CAA524139 BQD458605:BQE524139 BGH458605:BGI524139 AWL458605:AWM524139 AMP458605:AMQ524139 ACT458605:ACU524139 SX458605:SY524139 JB458605:JC524139 G458605:H524139 WVN393069:WVO458603 WLR393069:WLS458603 WBV393069:WBW458603 VRZ393069:VSA458603 VID393069:VIE458603 UYH393069:UYI458603 UOL393069:UOM458603 UEP393069:UEQ458603 TUT393069:TUU458603 TKX393069:TKY458603 TBB393069:TBC458603 SRF393069:SRG458603 SHJ393069:SHK458603 RXN393069:RXO458603 RNR393069:RNS458603 RDV393069:RDW458603 QTZ393069:QUA458603 QKD393069:QKE458603 QAH393069:QAI458603 PQL393069:PQM458603 PGP393069:PGQ458603 OWT393069:OWU458603 OMX393069:OMY458603 ODB393069:ODC458603 NTF393069:NTG458603 NJJ393069:NJK458603 MZN393069:MZO458603 MPR393069:MPS458603 MFV393069:MFW458603 LVZ393069:LWA458603 LMD393069:LME458603 LCH393069:LCI458603 KSL393069:KSM458603 KIP393069:KIQ458603 JYT393069:JYU458603 JOX393069:JOY458603 JFB393069:JFC458603 IVF393069:IVG458603 ILJ393069:ILK458603 IBN393069:IBO458603 HRR393069:HRS458603 HHV393069:HHW458603 GXZ393069:GYA458603 GOD393069:GOE458603 GEH393069:GEI458603 FUL393069:FUM458603 FKP393069:FKQ458603 FAT393069:FAU458603 EQX393069:EQY458603 EHB393069:EHC458603 DXF393069:DXG458603 DNJ393069:DNK458603 DDN393069:DDO458603 CTR393069:CTS458603 CJV393069:CJW458603 BZZ393069:CAA458603 BQD393069:BQE458603 BGH393069:BGI458603 AWL393069:AWM458603 AMP393069:AMQ458603 ACT393069:ACU458603 SX393069:SY458603 JB393069:JC458603 G393069:H458603 WVN327533:WVO393067 WLR327533:WLS393067 WBV327533:WBW393067 VRZ327533:VSA393067 VID327533:VIE393067 UYH327533:UYI393067 UOL327533:UOM393067 UEP327533:UEQ393067 TUT327533:TUU393067 TKX327533:TKY393067 TBB327533:TBC393067 SRF327533:SRG393067 SHJ327533:SHK393067 RXN327533:RXO393067 RNR327533:RNS393067 RDV327533:RDW393067 QTZ327533:QUA393067 QKD327533:QKE393067 QAH327533:QAI393067 PQL327533:PQM393067 PGP327533:PGQ393067 OWT327533:OWU393067 OMX327533:OMY393067 ODB327533:ODC393067 NTF327533:NTG393067 NJJ327533:NJK393067 MZN327533:MZO393067 MPR327533:MPS393067 MFV327533:MFW393067 LVZ327533:LWA393067 LMD327533:LME393067 LCH327533:LCI393067 KSL327533:KSM393067 KIP327533:KIQ393067 JYT327533:JYU393067 JOX327533:JOY393067 JFB327533:JFC393067 IVF327533:IVG393067 ILJ327533:ILK393067 IBN327533:IBO393067 HRR327533:HRS393067 HHV327533:HHW393067 GXZ327533:GYA393067 GOD327533:GOE393067 GEH327533:GEI393067 FUL327533:FUM393067 FKP327533:FKQ393067 FAT327533:FAU393067 EQX327533:EQY393067 EHB327533:EHC393067 DXF327533:DXG393067 DNJ327533:DNK393067 DDN327533:DDO393067 CTR327533:CTS393067 CJV327533:CJW393067 BZZ327533:CAA393067 BQD327533:BQE393067 BGH327533:BGI393067 AWL327533:AWM393067 AMP327533:AMQ393067 ACT327533:ACU393067 SX327533:SY393067 JB327533:JC393067 G327533:H393067 WVN261997:WVO327531 WLR261997:WLS327531 WBV261997:WBW327531 VRZ261997:VSA327531 VID261997:VIE327531 UYH261997:UYI327531 UOL261997:UOM327531 UEP261997:UEQ327531 TUT261997:TUU327531 TKX261997:TKY327531 TBB261997:TBC327531 SRF261997:SRG327531 SHJ261997:SHK327531 RXN261997:RXO327531 RNR261997:RNS327531 RDV261997:RDW327531 QTZ261997:QUA327531 QKD261997:QKE327531 QAH261997:QAI327531 PQL261997:PQM327531 PGP261997:PGQ327531 OWT261997:OWU327531 OMX261997:OMY327531 ODB261997:ODC327531 NTF261997:NTG327531 NJJ261997:NJK327531 MZN261997:MZO327531 MPR261997:MPS327531 MFV261997:MFW327531 LVZ261997:LWA327531 LMD261997:LME327531 LCH261997:LCI327531 KSL261997:KSM327531 KIP261997:KIQ327531 JYT261997:JYU327531 JOX261997:JOY327531 JFB261997:JFC327531 IVF261997:IVG327531 ILJ261997:ILK327531 IBN261997:IBO327531 HRR261997:HRS327531 HHV261997:HHW327531 GXZ261997:GYA327531 GOD261997:GOE327531 GEH261997:GEI327531 FUL261997:FUM327531 FKP261997:FKQ327531 FAT261997:FAU327531 EQX261997:EQY327531 EHB261997:EHC327531 DXF261997:DXG327531 DNJ261997:DNK327531 DDN261997:DDO327531 CTR261997:CTS327531 CJV261997:CJW327531 BZZ261997:CAA327531 BQD261997:BQE327531 BGH261997:BGI327531 AWL261997:AWM327531 AMP261997:AMQ327531 ACT261997:ACU327531 SX261997:SY327531 JB261997:JC327531 G261997:H327531 WVN196461:WVO261995 WLR196461:WLS261995 WBV196461:WBW261995 VRZ196461:VSA261995 VID196461:VIE261995 UYH196461:UYI261995 UOL196461:UOM261995 UEP196461:UEQ261995 TUT196461:TUU261995 TKX196461:TKY261995 TBB196461:TBC261995 SRF196461:SRG261995 SHJ196461:SHK261995 RXN196461:RXO261995 RNR196461:RNS261995 RDV196461:RDW261995 QTZ196461:QUA261995 QKD196461:QKE261995 QAH196461:QAI261995 PQL196461:PQM261995 PGP196461:PGQ261995 OWT196461:OWU261995 OMX196461:OMY261995 ODB196461:ODC261995 NTF196461:NTG261995 NJJ196461:NJK261995 MZN196461:MZO261995 MPR196461:MPS261995 MFV196461:MFW261995 LVZ196461:LWA261995 LMD196461:LME261995 LCH196461:LCI261995 KSL196461:KSM261995 KIP196461:KIQ261995 JYT196461:JYU261995 JOX196461:JOY261995 JFB196461:JFC261995 IVF196461:IVG261995 ILJ196461:ILK261995 IBN196461:IBO261995 HRR196461:HRS261995 HHV196461:HHW261995 GXZ196461:GYA261995 GOD196461:GOE261995 GEH196461:GEI261995 FUL196461:FUM261995 FKP196461:FKQ261995 FAT196461:FAU261995 EQX196461:EQY261995 EHB196461:EHC261995 DXF196461:DXG261995 DNJ196461:DNK261995 DDN196461:DDO261995 CTR196461:CTS261995 CJV196461:CJW261995 BZZ196461:CAA261995 BQD196461:BQE261995 BGH196461:BGI261995 AWL196461:AWM261995 AMP196461:AMQ261995 ACT196461:ACU261995 SX196461:SY261995 JB196461:JC261995 G196461:H261995 WVN130925:WVO196459 WLR130925:WLS196459 WBV130925:WBW196459 VRZ130925:VSA196459 VID130925:VIE196459 UYH130925:UYI196459 UOL130925:UOM196459 UEP130925:UEQ196459 TUT130925:TUU196459 TKX130925:TKY196459 TBB130925:TBC196459 SRF130925:SRG196459 SHJ130925:SHK196459 RXN130925:RXO196459 RNR130925:RNS196459 RDV130925:RDW196459 QTZ130925:QUA196459 QKD130925:QKE196459 QAH130925:QAI196459 PQL130925:PQM196459 PGP130925:PGQ196459 OWT130925:OWU196459 OMX130925:OMY196459 ODB130925:ODC196459 NTF130925:NTG196459 NJJ130925:NJK196459 MZN130925:MZO196459 MPR130925:MPS196459 MFV130925:MFW196459 LVZ130925:LWA196459 LMD130925:LME196459 LCH130925:LCI196459 KSL130925:KSM196459 KIP130925:KIQ196459 JYT130925:JYU196459 JOX130925:JOY196459 JFB130925:JFC196459 IVF130925:IVG196459 ILJ130925:ILK196459 IBN130925:IBO196459 HRR130925:HRS196459 HHV130925:HHW196459 GXZ130925:GYA196459 GOD130925:GOE196459 GEH130925:GEI196459 FUL130925:FUM196459 FKP130925:FKQ196459 FAT130925:FAU196459 EQX130925:EQY196459 EHB130925:EHC196459 DXF130925:DXG196459 DNJ130925:DNK196459 DDN130925:DDO196459 CTR130925:CTS196459 CJV130925:CJW196459 BZZ130925:CAA196459 BQD130925:BQE196459 BGH130925:BGI196459 AWL130925:AWM196459 AMP130925:AMQ196459 ACT130925:ACU196459 SX130925:SY196459 JB130925:JC196459 G130925:H196459 WVN65389:WVO130923 WLR65389:WLS130923 WBV65389:WBW130923 VRZ65389:VSA130923 VID65389:VIE130923 UYH65389:UYI130923 UOL65389:UOM130923 UEP65389:UEQ130923 TUT65389:TUU130923 TKX65389:TKY130923 TBB65389:TBC130923 SRF65389:SRG130923 SHJ65389:SHK130923 RXN65389:RXO130923 RNR65389:RNS130923 RDV65389:RDW130923 QTZ65389:QUA130923 QKD65389:QKE130923 QAH65389:QAI130923 PQL65389:PQM130923 PGP65389:PGQ130923 OWT65389:OWU130923 OMX65389:OMY130923 ODB65389:ODC130923 NTF65389:NTG130923 NJJ65389:NJK130923 MZN65389:MZO130923 MPR65389:MPS130923 MFV65389:MFW130923 LVZ65389:LWA130923 LMD65389:LME130923 LCH65389:LCI130923 KSL65389:KSM130923 KIP65389:KIQ130923 JYT65389:JYU130923 JOX65389:JOY130923 JFB65389:JFC130923 IVF65389:IVG130923 ILJ65389:ILK130923 IBN65389:IBO130923 HRR65389:HRS130923 HHV65389:HHW130923 GXZ65389:GYA130923 GOD65389:GOE130923 GEH65389:GEI130923 FUL65389:FUM130923 FKP65389:FKQ130923 FAT65389:FAU130923 EQX65389:EQY130923 EHB65389:EHC130923 DXF65389:DXG130923 DNJ65389:DNK130923 DDN65389:DDO130923 CTR65389:CTS130923 CJV65389:CJW130923 BZZ65389:CAA130923 BQD65389:BQE130923 BGH65389:BGI130923 AWL65389:AWM130923 AMP65389:AMQ130923 ACT65389:ACU130923 SX65389:SY130923 JB65389:JC130923 WLR1:WLS65387 WBV1:WBW65387 VRZ1:VSA65387 VID1:VIE65387 UYH1:UYI65387 UOL1:UOM65387 UEP1:UEQ65387 TUT1:TUU65387 TKX1:TKY65387 TBB1:TBC65387 SRF1:SRG65387 SHJ1:SHK65387 RXN1:RXO65387 RNR1:RNS65387 RDV1:RDW65387 QTZ1:QUA65387 QKD1:QKE65387 QAH1:QAI65387 PQL1:PQM65387 PGP1:PGQ65387 OWT1:OWU65387 OMX1:OMY65387 ODB1:ODC65387 NTF1:NTG65387 NJJ1:NJK65387 MZN1:MZO65387 MPR1:MPS65387 MFV1:MFW65387 LVZ1:LWA65387 LMD1:LME65387 LCH1:LCI65387 KSL1:KSM65387 KIP1:KIQ65387 JYT1:JYU65387 JOX1:JOY65387 JFB1:JFC65387 IVF1:IVG65387 ILJ1:ILK65387 IBN1:IBO65387 HRR1:HRS65387 HHV1:HHW65387 GXZ1:GYA65387 GOD1:GOE65387 GEH1:GEI65387 FUL1:FUM65387 FKP1:FKQ65387 FAT1:FAU65387 EQX1:EQY65387 EHB1:EHC65387 DXF1:DXG65387 DNJ1:DNK65387 DDN1:DDO65387 CTR1:CTS65387 CJV1:CJW65387 BZZ1:CAA65387 BQD1:BQE65387 BGH1:BGI65387 AWL1:AWM65387 AMP1:AMQ65387 ACT1:ACU65387 SX1:SY65387 WVN1:WVO65387 G1:H65387 I65358:I65387 WVP982862:WVP982891 WLT982862:WLT982891 WBX982862:WBX982891 VSB982862:VSB982891 VIF982862:VIF982891 UYJ982862:UYJ982891 UON982862:UON982891 UER982862:UER982891 TUV982862:TUV982891 TKZ982862:TKZ982891 TBD982862:TBD982891 SRH982862:SRH982891 SHL982862:SHL982891 RXP982862:RXP982891 RNT982862:RNT982891 RDX982862:RDX982891 QUB982862:QUB982891 QKF982862:QKF982891 QAJ982862:QAJ982891 PQN982862:PQN982891 PGR982862:PGR982891 OWV982862:OWV982891 OMZ982862:OMZ982891 ODD982862:ODD982891 NTH982862:NTH982891 NJL982862:NJL982891 MZP982862:MZP982891 MPT982862:MPT982891 MFX982862:MFX982891 LWB982862:LWB982891 LMF982862:LMF982891 LCJ982862:LCJ982891 KSN982862:KSN982891 KIR982862:KIR982891 JYV982862:JYV982891 JOZ982862:JOZ982891 JFD982862:JFD982891 IVH982862:IVH982891 ILL982862:ILL982891 IBP982862:IBP982891 HRT982862:HRT982891 HHX982862:HHX982891 GYB982862:GYB982891 GOF982862:GOF982891 GEJ982862:GEJ982891 FUN982862:FUN982891 FKR982862:FKR982891 FAV982862:FAV982891 EQZ982862:EQZ982891 EHD982862:EHD982891 DXH982862:DXH982891 DNL982862:DNL982891 DDP982862:DDP982891 CTT982862:CTT982891 CJX982862:CJX982891 CAB982862:CAB982891 BQF982862:BQF982891 BGJ982862:BGJ982891 AWN982862:AWN982891 AMR982862:AMR982891 ACV982862:ACV982891 SZ982862:SZ982891 JD982862:JD982891 I982862:I982891 WVP917326:WVP917355 WLT917326:WLT917355 WBX917326:WBX917355 VSB917326:VSB917355 VIF917326:VIF917355 UYJ917326:UYJ917355 UON917326:UON917355 UER917326:UER917355 TUV917326:TUV917355 TKZ917326:TKZ917355 TBD917326:TBD917355 SRH917326:SRH917355 SHL917326:SHL917355 RXP917326:RXP917355 RNT917326:RNT917355 RDX917326:RDX917355 QUB917326:QUB917355 QKF917326:QKF917355 QAJ917326:QAJ917355 PQN917326:PQN917355 PGR917326:PGR917355 OWV917326:OWV917355 OMZ917326:OMZ917355 ODD917326:ODD917355 NTH917326:NTH917355 NJL917326:NJL917355 MZP917326:MZP917355 MPT917326:MPT917355 MFX917326:MFX917355 LWB917326:LWB917355 LMF917326:LMF917355 LCJ917326:LCJ917355 KSN917326:KSN917355 KIR917326:KIR917355 JYV917326:JYV917355 JOZ917326:JOZ917355 JFD917326:JFD917355 IVH917326:IVH917355 ILL917326:ILL917355 IBP917326:IBP917355 HRT917326:HRT917355 HHX917326:HHX917355 GYB917326:GYB917355 GOF917326:GOF917355 GEJ917326:GEJ917355 FUN917326:FUN917355 FKR917326:FKR917355 FAV917326:FAV917355 EQZ917326:EQZ917355 EHD917326:EHD917355 DXH917326:DXH917355 DNL917326:DNL917355 DDP917326:DDP917355 CTT917326:CTT917355 CJX917326:CJX917355 CAB917326:CAB917355 BQF917326:BQF917355 BGJ917326:BGJ917355 AWN917326:AWN917355 AMR917326:AMR917355 ACV917326:ACV917355 SZ917326:SZ917355 JD917326:JD917355 I917326:I917355 WVP851790:WVP851819 WLT851790:WLT851819 WBX851790:WBX851819 VSB851790:VSB851819 VIF851790:VIF851819 UYJ851790:UYJ851819 UON851790:UON851819 UER851790:UER851819 TUV851790:TUV851819 TKZ851790:TKZ851819 TBD851790:TBD851819 SRH851790:SRH851819 SHL851790:SHL851819 RXP851790:RXP851819 RNT851790:RNT851819 RDX851790:RDX851819 QUB851790:QUB851819 QKF851790:QKF851819 QAJ851790:QAJ851819 PQN851790:PQN851819 PGR851790:PGR851819 OWV851790:OWV851819 OMZ851790:OMZ851819 ODD851790:ODD851819 NTH851790:NTH851819 NJL851790:NJL851819 MZP851790:MZP851819 MPT851790:MPT851819 MFX851790:MFX851819 LWB851790:LWB851819 LMF851790:LMF851819 LCJ851790:LCJ851819 KSN851790:KSN851819 KIR851790:KIR851819 JYV851790:JYV851819 JOZ851790:JOZ851819 JFD851790:JFD851819 IVH851790:IVH851819 ILL851790:ILL851819 IBP851790:IBP851819 HRT851790:HRT851819 HHX851790:HHX851819 GYB851790:GYB851819 GOF851790:GOF851819 GEJ851790:GEJ851819 FUN851790:FUN851819 FKR851790:FKR851819 FAV851790:FAV851819 EQZ851790:EQZ851819 EHD851790:EHD851819 DXH851790:DXH851819 DNL851790:DNL851819 DDP851790:DDP851819 CTT851790:CTT851819 CJX851790:CJX851819 CAB851790:CAB851819 BQF851790:BQF851819 BGJ851790:BGJ851819 AWN851790:AWN851819 AMR851790:AMR851819 ACV851790:ACV851819 SZ851790:SZ851819 JD851790:JD851819 I851790:I851819 WVP786254:WVP786283 WLT786254:WLT786283 WBX786254:WBX786283 VSB786254:VSB786283 VIF786254:VIF786283 UYJ786254:UYJ786283 UON786254:UON786283 UER786254:UER786283 TUV786254:TUV786283 TKZ786254:TKZ786283 TBD786254:TBD786283 SRH786254:SRH786283 SHL786254:SHL786283 RXP786254:RXP786283 RNT786254:RNT786283 RDX786254:RDX786283 QUB786254:QUB786283 QKF786254:QKF786283 QAJ786254:QAJ786283 PQN786254:PQN786283 PGR786254:PGR786283 OWV786254:OWV786283 OMZ786254:OMZ786283 ODD786254:ODD786283 NTH786254:NTH786283 NJL786254:NJL786283 MZP786254:MZP786283 MPT786254:MPT786283 MFX786254:MFX786283 LWB786254:LWB786283 LMF786254:LMF786283 LCJ786254:LCJ786283 KSN786254:KSN786283 KIR786254:KIR786283 JYV786254:JYV786283 JOZ786254:JOZ786283 JFD786254:JFD786283 IVH786254:IVH786283 ILL786254:ILL786283 IBP786254:IBP786283 HRT786254:HRT786283 HHX786254:HHX786283 GYB786254:GYB786283 GOF786254:GOF786283 GEJ786254:GEJ786283 FUN786254:FUN786283 FKR786254:FKR786283 FAV786254:FAV786283 EQZ786254:EQZ786283 EHD786254:EHD786283 DXH786254:DXH786283 DNL786254:DNL786283 DDP786254:DDP786283 CTT786254:CTT786283 CJX786254:CJX786283 CAB786254:CAB786283 BQF786254:BQF786283 BGJ786254:BGJ786283 AWN786254:AWN786283 AMR786254:AMR786283 ACV786254:ACV786283 SZ786254:SZ786283 JD786254:JD786283 I786254:I786283 WVP720718:WVP720747 WLT720718:WLT720747 WBX720718:WBX720747 VSB720718:VSB720747 VIF720718:VIF720747 UYJ720718:UYJ720747 UON720718:UON720747 UER720718:UER720747 TUV720718:TUV720747 TKZ720718:TKZ720747 TBD720718:TBD720747 SRH720718:SRH720747 SHL720718:SHL720747 RXP720718:RXP720747 RNT720718:RNT720747 RDX720718:RDX720747 QUB720718:QUB720747 QKF720718:QKF720747 QAJ720718:QAJ720747 PQN720718:PQN720747 PGR720718:PGR720747 OWV720718:OWV720747 OMZ720718:OMZ720747 ODD720718:ODD720747 NTH720718:NTH720747 NJL720718:NJL720747 MZP720718:MZP720747 MPT720718:MPT720747 MFX720718:MFX720747 LWB720718:LWB720747 LMF720718:LMF720747 LCJ720718:LCJ720747 KSN720718:KSN720747 KIR720718:KIR720747 JYV720718:JYV720747 JOZ720718:JOZ720747 JFD720718:JFD720747 IVH720718:IVH720747 ILL720718:ILL720747 IBP720718:IBP720747 HRT720718:HRT720747 HHX720718:HHX720747 GYB720718:GYB720747 GOF720718:GOF720747 GEJ720718:GEJ720747 FUN720718:FUN720747 FKR720718:FKR720747 FAV720718:FAV720747 EQZ720718:EQZ720747 EHD720718:EHD720747 DXH720718:DXH720747 DNL720718:DNL720747 DDP720718:DDP720747 CTT720718:CTT720747 CJX720718:CJX720747 CAB720718:CAB720747 BQF720718:BQF720747 BGJ720718:BGJ720747 AWN720718:AWN720747 AMR720718:AMR720747 ACV720718:ACV720747 SZ720718:SZ720747 JD720718:JD720747 I720718:I720747 WVP655182:WVP655211 WLT655182:WLT655211 WBX655182:WBX655211 VSB655182:VSB655211 VIF655182:VIF655211 UYJ655182:UYJ655211 UON655182:UON655211 UER655182:UER655211 TUV655182:TUV655211 TKZ655182:TKZ655211 TBD655182:TBD655211 SRH655182:SRH655211 SHL655182:SHL655211 RXP655182:RXP655211 RNT655182:RNT655211 RDX655182:RDX655211 QUB655182:QUB655211 QKF655182:QKF655211 QAJ655182:QAJ655211 PQN655182:PQN655211 PGR655182:PGR655211 OWV655182:OWV655211 OMZ655182:OMZ655211 ODD655182:ODD655211 NTH655182:NTH655211 NJL655182:NJL655211 MZP655182:MZP655211 MPT655182:MPT655211 MFX655182:MFX655211 LWB655182:LWB655211 LMF655182:LMF655211 LCJ655182:LCJ655211 KSN655182:KSN655211 KIR655182:KIR655211 JYV655182:JYV655211 JOZ655182:JOZ655211 JFD655182:JFD655211 IVH655182:IVH655211 ILL655182:ILL655211 IBP655182:IBP655211 HRT655182:HRT655211 HHX655182:HHX655211 GYB655182:GYB655211 GOF655182:GOF655211 GEJ655182:GEJ655211 FUN655182:FUN655211 FKR655182:FKR655211 FAV655182:FAV655211 EQZ655182:EQZ655211 EHD655182:EHD655211 DXH655182:DXH655211 DNL655182:DNL655211 DDP655182:DDP655211 CTT655182:CTT655211 CJX655182:CJX655211 CAB655182:CAB655211 BQF655182:BQF655211 BGJ655182:BGJ655211 AWN655182:AWN655211 AMR655182:AMR655211 ACV655182:ACV655211 SZ655182:SZ655211 JD655182:JD655211 I655182:I655211 WVP589646:WVP589675 WLT589646:WLT589675 WBX589646:WBX589675 VSB589646:VSB589675 VIF589646:VIF589675 UYJ589646:UYJ589675 UON589646:UON589675 UER589646:UER589675 TUV589646:TUV589675 TKZ589646:TKZ589675 TBD589646:TBD589675 SRH589646:SRH589675 SHL589646:SHL589675 RXP589646:RXP589675 RNT589646:RNT589675 RDX589646:RDX589675 QUB589646:QUB589675 QKF589646:QKF589675 QAJ589646:QAJ589675 PQN589646:PQN589675 PGR589646:PGR589675 OWV589646:OWV589675 OMZ589646:OMZ589675 ODD589646:ODD589675 NTH589646:NTH589675 NJL589646:NJL589675 MZP589646:MZP589675 MPT589646:MPT589675 MFX589646:MFX589675 LWB589646:LWB589675 LMF589646:LMF589675 LCJ589646:LCJ589675 KSN589646:KSN589675 KIR589646:KIR589675 JYV589646:JYV589675 JOZ589646:JOZ589675 JFD589646:JFD589675 IVH589646:IVH589675 ILL589646:ILL589675 IBP589646:IBP589675 HRT589646:HRT589675 HHX589646:HHX589675 GYB589646:GYB589675 GOF589646:GOF589675 GEJ589646:GEJ589675 FUN589646:FUN589675 FKR589646:FKR589675 FAV589646:FAV589675 EQZ589646:EQZ589675 EHD589646:EHD589675 DXH589646:DXH589675 DNL589646:DNL589675 DDP589646:DDP589675 CTT589646:CTT589675 CJX589646:CJX589675 CAB589646:CAB589675 BQF589646:BQF589675 BGJ589646:BGJ589675 AWN589646:AWN589675 AMR589646:AMR589675 ACV589646:ACV589675 SZ589646:SZ589675 JD589646:JD589675 I589646:I589675 WVP524110:WVP524139 WLT524110:WLT524139 WBX524110:WBX524139 VSB524110:VSB524139 VIF524110:VIF524139 UYJ524110:UYJ524139 UON524110:UON524139 UER524110:UER524139 TUV524110:TUV524139 TKZ524110:TKZ524139 TBD524110:TBD524139 SRH524110:SRH524139 SHL524110:SHL524139 RXP524110:RXP524139 RNT524110:RNT524139 RDX524110:RDX524139 QUB524110:QUB524139 QKF524110:QKF524139 QAJ524110:QAJ524139 PQN524110:PQN524139 PGR524110:PGR524139 OWV524110:OWV524139 OMZ524110:OMZ524139 ODD524110:ODD524139 NTH524110:NTH524139 NJL524110:NJL524139 MZP524110:MZP524139 MPT524110:MPT524139 MFX524110:MFX524139 LWB524110:LWB524139 LMF524110:LMF524139 LCJ524110:LCJ524139 KSN524110:KSN524139 KIR524110:KIR524139 JYV524110:JYV524139 JOZ524110:JOZ524139 JFD524110:JFD524139 IVH524110:IVH524139 ILL524110:ILL524139 IBP524110:IBP524139 HRT524110:HRT524139 HHX524110:HHX524139 GYB524110:GYB524139 GOF524110:GOF524139 GEJ524110:GEJ524139 FUN524110:FUN524139 FKR524110:FKR524139 FAV524110:FAV524139 EQZ524110:EQZ524139 EHD524110:EHD524139 DXH524110:DXH524139 DNL524110:DNL524139 DDP524110:DDP524139 CTT524110:CTT524139 CJX524110:CJX524139 CAB524110:CAB524139 BQF524110:BQF524139 BGJ524110:BGJ524139 AWN524110:AWN524139 AMR524110:AMR524139 ACV524110:ACV524139 SZ524110:SZ524139 JD524110:JD524139 I524110:I524139 WVP458574:WVP458603 WLT458574:WLT458603 WBX458574:WBX458603 VSB458574:VSB458603 VIF458574:VIF458603 UYJ458574:UYJ458603 UON458574:UON458603 UER458574:UER458603 TUV458574:TUV458603 TKZ458574:TKZ458603 TBD458574:TBD458603 SRH458574:SRH458603 SHL458574:SHL458603 RXP458574:RXP458603 RNT458574:RNT458603 RDX458574:RDX458603 QUB458574:QUB458603 QKF458574:QKF458603 QAJ458574:QAJ458603 PQN458574:PQN458603 PGR458574:PGR458603 OWV458574:OWV458603 OMZ458574:OMZ458603 ODD458574:ODD458603 NTH458574:NTH458603 NJL458574:NJL458603 MZP458574:MZP458603 MPT458574:MPT458603 MFX458574:MFX458603 LWB458574:LWB458603 LMF458574:LMF458603 LCJ458574:LCJ458603 KSN458574:KSN458603 KIR458574:KIR458603 JYV458574:JYV458603 JOZ458574:JOZ458603 JFD458574:JFD458603 IVH458574:IVH458603 ILL458574:ILL458603 IBP458574:IBP458603 HRT458574:HRT458603 HHX458574:HHX458603 GYB458574:GYB458603 GOF458574:GOF458603 GEJ458574:GEJ458603 FUN458574:FUN458603 FKR458574:FKR458603 FAV458574:FAV458603 EQZ458574:EQZ458603 EHD458574:EHD458603 DXH458574:DXH458603 DNL458574:DNL458603 DDP458574:DDP458603 CTT458574:CTT458603 CJX458574:CJX458603 CAB458574:CAB458603 BQF458574:BQF458603 BGJ458574:BGJ458603 AWN458574:AWN458603 AMR458574:AMR458603 ACV458574:ACV458603 SZ458574:SZ458603 JD458574:JD458603 I458574:I458603 WVP393038:WVP393067 WLT393038:WLT393067 WBX393038:WBX393067 VSB393038:VSB393067 VIF393038:VIF393067 UYJ393038:UYJ393067 UON393038:UON393067 UER393038:UER393067 TUV393038:TUV393067 TKZ393038:TKZ393067 TBD393038:TBD393067 SRH393038:SRH393067 SHL393038:SHL393067 RXP393038:RXP393067 RNT393038:RNT393067 RDX393038:RDX393067 QUB393038:QUB393067 QKF393038:QKF393067 QAJ393038:QAJ393067 PQN393038:PQN393067 PGR393038:PGR393067 OWV393038:OWV393067 OMZ393038:OMZ393067 ODD393038:ODD393067 NTH393038:NTH393067 NJL393038:NJL393067 MZP393038:MZP393067 MPT393038:MPT393067 MFX393038:MFX393067 LWB393038:LWB393067 LMF393038:LMF393067 LCJ393038:LCJ393067 KSN393038:KSN393067 KIR393038:KIR393067 JYV393038:JYV393067 JOZ393038:JOZ393067 JFD393038:JFD393067 IVH393038:IVH393067 ILL393038:ILL393067 IBP393038:IBP393067 HRT393038:HRT393067 HHX393038:HHX393067 GYB393038:GYB393067 GOF393038:GOF393067 GEJ393038:GEJ393067 FUN393038:FUN393067 FKR393038:FKR393067 FAV393038:FAV393067 EQZ393038:EQZ393067 EHD393038:EHD393067 DXH393038:DXH393067 DNL393038:DNL393067 DDP393038:DDP393067 CTT393038:CTT393067 CJX393038:CJX393067 CAB393038:CAB393067 BQF393038:BQF393067 BGJ393038:BGJ393067 AWN393038:AWN393067 AMR393038:AMR393067 ACV393038:ACV393067 SZ393038:SZ393067 JD393038:JD393067 I393038:I393067 WVP327502:WVP327531 WLT327502:WLT327531 WBX327502:WBX327531 VSB327502:VSB327531 VIF327502:VIF327531 UYJ327502:UYJ327531 UON327502:UON327531 UER327502:UER327531 TUV327502:TUV327531 TKZ327502:TKZ327531 TBD327502:TBD327531 SRH327502:SRH327531 SHL327502:SHL327531 RXP327502:RXP327531 RNT327502:RNT327531 RDX327502:RDX327531 QUB327502:QUB327531 QKF327502:QKF327531 QAJ327502:QAJ327531 PQN327502:PQN327531 PGR327502:PGR327531 OWV327502:OWV327531 OMZ327502:OMZ327531 ODD327502:ODD327531 NTH327502:NTH327531 NJL327502:NJL327531 MZP327502:MZP327531 MPT327502:MPT327531 MFX327502:MFX327531 LWB327502:LWB327531 LMF327502:LMF327531 LCJ327502:LCJ327531 KSN327502:KSN327531 KIR327502:KIR327531 JYV327502:JYV327531 JOZ327502:JOZ327531 JFD327502:JFD327531 IVH327502:IVH327531 ILL327502:ILL327531 IBP327502:IBP327531 HRT327502:HRT327531 HHX327502:HHX327531 GYB327502:GYB327531 GOF327502:GOF327531 GEJ327502:GEJ327531 FUN327502:FUN327531 FKR327502:FKR327531 FAV327502:FAV327531 EQZ327502:EQZ327531 EHD327502:EHD327531 DXH327502:DXH327531 DNL327502:DNL327531 DDP327502:DDP327531 CTT327502:CTT327531 CJX327502:CJX327531 CAB327502:CAB327531 BQF327502:BQF327531 BGJ327502:BGJ327531 AWN327502:AWN327531 AMR327502:AMR327531 ACV327502:ACV327531 SZ327502:SZ327531 JD327502:JD327531 I327502:I327531 WVP261966:WVP261995 WLT261966:WLT261995 WBX261966:WBX261995 VSB261966:VSB261995 VIF261966:VIF261995 UYJ261966:UYJ261995 UON261966:UON261995 UER261966:UER261995 TUV261966:TUV261995 TKZ261966:TKZ261995 TBD261966:TBD261995 SRH261966:SRH261995 SHL261966:SHL261995 RXP261966:RXP261995 RNT261966:RNT261995 RDX261966:RDX261995 QUB261966:QUB261995 QKF261966:QKF261995 QAJ261966:QAJ261995 PQN261966:PQN261995 PGR261966:PGR261995 OWV261966:OWV261995 OMZ261966:OMZ261995 ODD261966:ODD261995 NTH261966:NTH261995 NJL261966:NJL261995 MZP261966:MZP261995 MPT261966:MPT261995 MFX261966:MFX261995 LWB261966:LWB261995 LMF261966:LMF261995 LCJ261966:LCJ261995 KSN261966:KSN261995 KIR261966:KIR261995 JYV261966:JYV261995 JOZ261966:JOZ261995 JFD261966:JFD261995 IVH261966:IVH261995 ILL261966:ILL261995 IBP261966:IBP261995 HRT261966:HRT261995 HHX261966:HHX261995 GYB261966:GYB261995 GOF261966:GOF261995 GEJ261966:GEJ261995 FUN261966:FUN261995 FKR261966:FKR261995 FAV261966:FAV261995 EQZ261966:EQZ261995 EHD261966:EHD261995 DXH261966:DXH261995 DNL261966:DNL261995 DDP261966:DDP261995 CTT261966:CTT261995 CJX261966:CJX261995 CAB261966:CAB261995 BQF261966:BQF261995 BGJ261966:BGJ261995 AWN261966:AWN261995 AMR261966:AMR261995 ACV261966:ACV261995 SZ261966:SZ261995 JD261966:JD261995 I261966:I261995 WVP196430:WVP196459 WLT196430:WLT196459 WBX196430:WBX196459 VSB196430:VSB196459 VIF196430:VIF196459 UYJ196430:UYJ196459 UON196430:UON196459 UER196430:UER196459 TUV196430:TUV196459 TKZ196430:TKZ196459 TBD196430:TBD196459 SRH196430:SRH196459 SHL196430:SHL196459 RXP196430:RXP196459 RNT196430:RNT196459 RDX196430:RDX196459 QUB196430:QUB196459 QKF196430:QKF196459 QAJ196430:QAJ196459 PQN196430:PQN196459 PGR196430:PGR196459 OWV196430:OWV196459 OMZ196430:OMZ196459 ODD196430:ODD196459 NTH196430:NTH196459 NJL196430:NJL196459 MZP196430:MZP196459 MPT196430:MPT196459 MFX196430:MFX196459 LWB196430:LWB196459 LMF196430:LMF196459 LCJ196430:LCJ196459 KSN196430:KSN196459 KIR196430:KIR196459 JYV196430:JYV196459 JOZ196430:JOZ196459 JFD196430:JFD196459 IVH196430:IVH196459 ILL196430:ILL196459 IBP196430:IBP196459 HRT196430:HRT196459 HHX196430:HHX196459 GYB196430:GYB196459 GOF196430:GOF196459 GEJ196430:GEJ196459 FUN196430:FUN196459 FKR196430:FKR196459 FAV196430:FAV196459 EQZ196430:EQZ196459 EHD196430:EHD196459 DXH196430:DXH196459 DNL196430:DNL196459 DDP196430:DDP196459 CTT196430:CTT196459 CJX196430:CJX196459 CAB196430:CAB196459 BQF196430:BQF196459 BGJ196430:BGJ196459 AWN196430:AWN196459 AMR196430:AMR196459 ACV196430:ACV196459 SZ196430:SZ196459 JD196430:JD196459 I196430:I196459 WVP130894:WVP130923 WLT130894:WLT130923 WBX130894:WBX130923 VSB130894:VSB130923 VIF130894:VIF130923 UYJ130894:UYJ130923 UON130894:UON130923 UER130894:UER130923 TUV130894:TUV130923 TKZ130894:TKZ130923 TBD130894:TBD130923 SRH130894:SRH130923 SHL130894:SHL130923 RXP130894:RXP130923 RNT130894:RNT130923 RDX130894:RDX130923 QUB130894:QUB130923 QKF130894:QKF130923 QAJ130894:QAJ130923 PQN130894:PQN130923 PGR130894:PGR130923 OWV130894:OWV130923 OMZ130894:OMZ130923 ODD130894:ODD130923 NTH130894:NTH130923 NJL130894:NJL130923 MZP130894:MZP130923 MPT130894:MPT130923 MFX130894:MFX130923 LWB130894:LWB130923 LMF130894:LMF130923 LCJ130894:LCJ130923 KSN130894:KSN130923 KIR130894:KIR130923 JYV130894:JYV130923 JOZ130894:JOZ130923 JFD130894:JFD130923 IVH130894:IVH130923 ILL130894:ILL130923 IBP130894:IBP130923 HRT130894:HRT130923 HHX130894:HHX130923 GYB130894:GYB130923 GOF130894:GOF130923 GEJ130894:GEJ130923 FUN130894:FUN130923 FKR130894:FKR130923 FAV130894:FAV130923 EQZ130894:EQZ130923 EHD130894:EHD130923 DXH130894:DXH130923 DNL130894:DNL130923 DDP130894:DDP130923 CTT130894:CTT130923 CJX130894:CJX130923 CAB130894:CAB130923 BQF130894:BQF130923 BGJ130894:BGJ130923 AWN130894:AWN130923 AMR130894:AMR130923 ACV130894:ACV130923 SZ130894:SZ130923 JD130894:JD130923 I130894:I130923 WVP65358:WVP65387 WLT65358:WLT65387 WBX65358:WBX65387 VSB65358:VSB65387 VIF65358:VIF65387 UYJ65358:UYJ65387 UON65358:UON65387 UER65358:UER65387 TUV65358:TUV65387 TKZ65358:TKZ65387 TBD65358:TBD65387 SRH65358:SRH65387 SHL65358:SHL65387 RXP65358:RXP65387 RNT65358:RNT65387 RDX65358:RDX65387 QUB65358:QUB65387 QKF65358:QKF65387 QAJ65358:QAJ65387 PQN65358:PQN65387 PGR65358:PGR65387 OWV65358:OWV65387 OMZ65358:OMZ65387 ODD65358:ODD65387 NTH65358:NTH65387 NJL65358:NJL65387 MZP65358:MZP65387 MPT65358:MPT65387 MFX65358:MFX65387 LWB65358:LWB65387 LMF65358:LMF65387 LCJ65358:LCJ65387 KSN65358:KSN65387 KIR65358:KIR65387 JYV65358:JYV65387 JOZ65358:JOZ65387 JFD65358:JFD65387 IVH65358:IVH65387 ILL65358:ILL65387 IBP65358:IBP65387 HRT65358:HRT65387 HHX65358:HHX65387 GYB65358:GYB65387 GOF65358:GOF65387 GEJ65358:GEJ65387 FUN65358:FUN65387 FKR65358:FKR65387 FAV65358:FAV65387 EQZ65358:EQZ65387 EHD65358:EHD65387 DXH65358:DXH65387 DNL65358:DNL65387 DDP65358:DDP65387 CTT65358:CTT65387 CJX65358:CJX65387 CAB65358:CAB65387 BQF65358:BQF65387 BGJ65358:BGJ65387 AWN65358:AWN65387 AMR65358:AMR65387 ACV65358:ACV65387 SZ65358:SZ65387 JD65358:JD65387 WVP2:WVP50 WLT2:WLT50 WBX2:WBX50 VSB2:VSB50 VIF2:VIF50 UYJ2:UYJ50 UON2:UON50 UER2:UER50 TUV2:TUV50 TKZ2:TKZ50 TBD2:TBD50 SRH2:SRH50 SHL2:SHL50 RXP2:RXP50 RNT2:RNT50 RDX2:RDX50 QUB2:QUB50 QKF2:QKF50 QAJ2:QAJ50 PQN2:PQN50 PGR2:PGR50 OWV2:OWV50 OMZ2:OMZ50 ODD2:ODD50 NTH2:NTH50 NJL2:NJL50 MZP2:MZP50 MPT2:MPT50 MFX2:MFX50 LWB2:LWB50 LMF2:LMF50 LCJ2:LCJ50 KSN2:KSN50 KIR2:KIR50 JYV2:JYV50 JOZ2:JOZ50 JFD2:JFD50 IVH2:IVH50 ILL2:ILL50 IBP2:IBP50 HRT2:HRT50 HHX2:HHX50 GYB2:GYB50 GOF2:GOF50 GEJ2:GEJ50 FUN2:FUN50 FKR2:FKR50 FAV2:FAV50 EQZ2:EQZ50 EHD2:EHD50 DXH2:DXH50 DNL2:DNL50 DDP2:DDP50 CTT2:CTT50 CJX2:CJX50 CAB2:CAB50 BQF2:BQF50 BGJ2:BGJ50 AWN2:AWN50 AMR2:AMR50 ACV2:ACV50 SZ2:SZ50 JD2:JD50 K65389:L65390 WVR982893:WVS982894 WLV982893:WLW982894 WBZ982893:WCA982894 VSD982893:VSE982894 VIH982893:VII982894 UYL982893:UYM982894 UOP982893:UOQ982894 UET982893:UEU982894 TUX982893:TUY982894 TLB982893:TLC982894 TBF982893:TBG982894 SRJ982893:SRK982894 SHN982893:SHO982894 RXR982893:RXS982894 RNV982893:RNW982894 RDZ982893:REA982894 QUD982893:QUE982894 QKH982893:QKI982894 QAL982893:QAM982894 PQP982893:PQQ982894 PGT982893:PGU982894 OWX982893:OWY982894 ONB982893:ONC982894 ODF982893:ODG982894 NTJ982893:NTK982894 NJN982893:NJO982894 MZR982893:MZS982894 MPV982893:MPW982894 MFZ982893:MGA982894 LWD982893:LWE982894 LMH982893:LMI982894 LCL982893:LCM982894 KSP982893:KSQ982894 KIT982893:KIU982894 JYX982893:JYY982894 JPB982893:JPC982894 JFF982893:JFG982894 IVJ982893:IVK982894 ILN982893:ILO982894 IBR982893:IBS982894 HRV982893:HRW982894 HHZ982893:HIA982894 GYD982893:GYE982894 GOH982893:GOI982894 GEL982893:GEM982894 FUP982893:FUQ982894 FKT982893:FKU982894 FAX982893:FAY982894 ERB982893:ERC982894 EHF982893:EHG982894 DXJ982893:DXK982894 DNN982893:DNO982894 DDR982893:DDS982894 CTV982893:CTW982894 CJZ982893:CKA982894 CAD982893:CAE982894 BQH982893:BQI982894 BGL982893:BGM982894 AWP982893:AWQ982894 AMT982893:AMU982894 ACX982893:ACY982894 TB982893:TC982894 JF982893:JG982894 K982893:L982894 WVR917357:WVS917358 WLV917357:WLW917358 WBZ917357:WCA917358 VSD917357:VSE917358 VIH917357:VII917358 UYL917357:UYM917358 UOP917357:UOQ917358 UET917357:UEU917358 TUX917357:TUY917358 TLB917357:TLC917358 TBF917357:TBG917358 SRJ917357:SRK917358 SHN917357:SHO917358 RXR917357:RXS917358 RNV917357:RNW917358 RDZ917357:REA917358 QUD917357:QUE917358 QKH917357:QKI917358 QAL917357:QAM917358 PQP917357:PQQ917358 PGT917357:PGU917358 OWX917357:OWY917358 ONB917357:ONC917358 ODF917357:ODG917358 NTJ917357:NTK917358 NJN917357:NJO917358 MZR917357:MZS917358 MPV917357:MPW917358 MFZ917357:MGA917358 LWD917357:LWE917358 LMH917357:LMI917358 LCL917357:LCM917358 KSP917357:KSQ917358 KIT917357:KIU917358 JYX917357:JYY917358 JPB917357:JPC917358 JFF917357:JFG917358 IVJ917357:IVK917358 ILN917357:ILO917358 IBR917357:IBS917358 HRV917357:HRW917358 HHZ917357:HIA917358 GYD917357:GYE917358 GOH917357:GOI917358 GEL917357:GEM917358 FUP917357:FUQ917358 FKT917357:FKU917358 FAX917357:FAY917358 ERB917357:ERC917358 EHF917357:EHG917358 DXJ917357:DXK917358 DNN917357:DNO917358 DDR917357:DDS917358 CTV917357:CTW917358 CJZ917357:CKA917358 CAD917357:CAE917358 BQH917357:BQI917358 BGL917357:BGM917358 AWP917357:AWQ917358 AMT917357:AMU917358 ACX917357:ACY917358 TB917357:TC917358 JF917357:JG917358 K917357:L917358 WVR851821:WVS851822 WLV851821:WLW851822 WBZ851821:WCA851822 VSD851821:VSE851822 VIH851821:VII851822 UYL851821:UYM851822 UOP851821:UOQ851822 UET851821:UEU851822 TUX851821:TUY851822 TLB851821:TLC851822 TBF851821:TBG851822 SRJ851821:SRK851822 SHN851821:SHO851822 RXR851821:RXS851822 RNV851821:RNW851822 RDZ851821:REA851822 QUD851821:QUE851822 QKH851821:QKI851822 QAL851821:QAM851822 PQP851821:PQQ851822 PGT851821:PGU851822 OWX851821:OWY851822 ONB851821:ONC851822 ODF851821:ODG851822 NTJ851821:NTK851822 NJN851821:NJO851822 MZR851821:MZS851822 MPV851821:MPW851822 MFZ851821:MGA851822 LWD851821:LWE851822 LMH851821:LMI851822 LCL851821:LCM851822 KSP851821:KSQ851822 KIT851821:KIU851822 JYX851821:JYY851822 JPB851821:JPC851822 JFF851821:JFG851822 IVJ851821:IVK851822 ILN851821:ILO851822 IBR851821:IBS851822 HRV851821:HRW851822 HHZ851821:HIA851822 GYD851821:GYE851822 GOH851821:GOI851822 GEL851821:GEM851822 FUP851821:FUQ851822 FKT851821:FKU851822 FAX851821:FAY851822 ERB851821:ERC851822 EHF851821:EHG851822 DXJ851821:DXK851822 DNN851821:DNO851822 DDR851821:DDS851822 CTV851821:CTW851822 CJZ851821:CKA851822 CAD851821:CAE851822 BQH851821:BQI851822 BGL851821:BGM851822 AWP851821:AWQ851822 AMT851821:AMU851822 ACX851821:ACY851822 TB851821:TC851822 JF851821:JG851822 K851821:L851822 WVR786285:WVS786286 WLV786285:WLW786286 WBZ786285:WCA786286 VSD786285:VSE786286 VIH786285:VII786286 UYL786285:UYM786286 UOP786285:UOQ786286 UET786285:UEU786286 TUX786285:TUY786286 TLB786285:TLC786286 TBF786285:TBG786286 SRJ786285:SRK786286 SHN786285:SHO786286 RXR786285:RXS786286 RNV786285:RNW786286 RDZ786285:REA786286 QUD786285:QUE786286 QKH786285:QKI786286 QAL786285:QAM786286 PQP786285:PQQ786286 PGT786285:PGU786286 OWX786285:OWY786286 ONB786285:ONC786286 ODF786285:ODG786286 NTJ786285:NTK786286 NJN786285:NJO786286 MZR786285:MZS786286 MPV786285:MPW786286 MFZ786285:MGA786286 LWD786285:LWE786286 LMH786285:LMI786286 LCL786285:LCM786286 KSP786285:KSQ786286 KIT786285:KIU786286 JYX786285:JYY786286 JPB786285:JPC786286 JFF786285:JFG786286 IVJ786285:IVK786286 ILN786285:ILO786286 IBR786285:IBS786286 HRV786285:HRW786286 HHZ786285:HIA786286 GYD786285:GYE786286 GOH786285:GOI786286 GEL786285:GEM786286 FUP786285:FUQ786286 FKT786285:FKU786286 FAX786285:FAY786286 ERB786285:ERC786286 EHF786285:EHG786286 DXJ786285:DXK786286 DNN786285:DNO786286 DDR786285:DDS786286 CTV786285:CTW786286 CJZ786285:CKA786286 CAD786285:CAE786286 BQH786285:BQI786286 BGL786285:BGM786286 AWP786285:AWQ786286 AMT786285:AMU786286 ACX786285:ACY786286 TB786285:TC786286 JF786285:JG786286 K786285:L786286 WVR720749:WVS720750 WLV720749:WLW720750 WBZ720749:WCA720750 VSD720749:VSE720750 VIH720749:VII720750 UYL720749:UYM720750 UOP720749:UOQ720750 UET720749:UEU720750 TUX720749:TUY720750 TLB720749:TLC720750 TBF720749:TBG720750 SRJ720749:SRK720750 SHN720749:SHO720750 RXR720749:RXS720750 RNV720749:RNW720750 RDZ720749:REA720750 QUD720749:QUE720750 QKH720749:QKI720750 QAL720749:QAM720750 PQP720749:PQQ720750 PGT720749:PGU720750 OWX720749:OWY720750 ONB720749:ONC720750 ODF720749:ODG720750 NTJ720749:NTK720750 NJN720749:NJO720750 MZR720749:MZS720750 MPV720749:MPW720750 MFZ720749:MGA720750 LWD720749:LWE720750 LMH720749:LMI720750 LCL720749:LCM720750 KSP720749:KSQ720750 KIT720749:KIU720750 JYX720749:JYY720750 JPB720749:JPC720750 JFF720749:JFG720750 IVJ720749:IVK720750 ILN720749:ILO720750 IBR720749:IBS720750 HRV720749:HRW720750 HHZ720749:HIA720750 GYD720749:GYE720750 GOH720749:GOI720750 GEL720749:GEM720750 FUP720749:FUQ720750 FKT720749:FKU720750 FAX720749:FAY720750 ERB720749:ERC720750 EHF720749:EHG720750 DXJ720749:DXK720750 DNN720749:DNO720750 DDR720749:DDS720750 CTV720749:CTW720750 CJZ720749:CKA720750 CAD720749:CAE720750 BQH720749:BQI720750 BGL720749:BGM720750 AWP720749:AWQ720750 AMT720749:AMU720750 ACX720749:ACY720750 TB720749:TC720750 JF720749:JG720750 K720749:L720750 WVR655213:WVS655214 WLV655213:WLW655214 WBZ655213:WCA655214 VSD655213:VSE655214 VIH655213:VII655214 UYL655213:UYM655214 UOP655213:UOQ655214 UET655213:UEU655214 TUX655213:TUY655214 TLB655213:TLC655214 TBF655213:TBG655214 SRJ655213:SRK655214 SHN655213:SHO655214 RXR655213:RXS655214 RNV655213:RNW655214 RDZ655213:REA655214 QUD655213:QUE655214 QKH655213:QKI655214 QAL655213:QAM655214 PQP655213:PQQ655214 PGT655213:PGU655214 OWX655213:OWY655214 ONB655213:ONC655214 ODF655213:ODG655214 NTJ655213:NTK655214 NJN655213:NJO655214 MZR655213:MZS655214 MPV655213:MPW655214 MFZ655213:MGA655214 LWD655213:LWE655214 LMH655213:LMI655214 LCL655213:LCM655214 KSP655213:KSQ655214 KIT655213:KIU655214 JYX655213:JYY655214 JPB655213:JPC655214 JFF655213:JFG655214 IVJ655213:IVK655214 ILN655213:ILO655214 IBR655213:IBS655214 HRV655213:HRW655214 HHZ655213:HIA655214 GYD655213:GYE655214 GOH655213:GOI655214 GEL655213:GEM655214 FUP655213:FUQ655214 FKT655213:FKU655214 FAX655213:FAY655214 ERB655213:ERC655214 EHF655213:EHG655214 DXJ655213:DXK655214 DNN655213:DNO655214 DDR655213:DDS655214 CTV655213:CTW655214 CJZ655213:CKA655214 CAD655213:CAE655214 BQH655213:BQI655214 BGL655213:BGM655214 AWP655213:AWQ655214 AMT655213:AMU655214 ACX655213:ACY655214 TB655213:TC655214 JF655213:JG655214 K655213:L655214 WVR589677:WVS589678 WLV589677:WLW589678 WBZ589677:WCA589678 VSD589677:VSE589678 VIH589677:VII589678 UYL589677:UYM589678 UOP589677:UOQ589678 UET589677:UEU589678 TUX589677:TUY589678 TLB589677:TLC589678 TBF589677:TBG589678 SRJ589677:SRK589678 SHN589677:SHO589678 RXR589677:RXS589678 RNV589677:RNW589678 RDZ589677:REA589678 QUD589677:QUE589678 QKH589677:QKI589678 QAL589677:QAM589678 PQP589677:PQQ589678 PGT589677:PGU589678 OWX589677:OWY589678 ONB589677:ONC589678 ODF589677:ODG589678 NTJ589677:NTK589678 NJN589677:NJO589678 MZR589677:MZS589678 MPV589677:MPW589678 MFZ589677:MGA589678 LWD589677:LWE589678 LMH589677:LMI589678 LCL589677:LCM589678 KSP589677:KSQ589678 KIT589677:KIU589678 JYX589677:JYY589678 JPB589677:JPC589678 JFF589677:JFG589678 IVJ589677:IVK589678 ILN589677:ILO589678 IBR589677:IBS589678 HRV589677:HRW589678 HHZ589677:HIA589678 GYD589677:GYE589678 GOH589677:GOI589678 GEL589677:GEM589678 FUP589677:FUQ589678 FKT589677:FKU589678 FAX589677:FAY589678 ERB589677:ERC589678 EHF589677:EHG589678 DXJ589677:DXK589678 DNN589677:DNO589678 DDR589677:DDS589678 CTV589677:CTW589678 CJZ589677:CKA589678 CAD589677:CAE589678 BQH589677:BQI589678 BGL589677:BGM589678 AWP589677:AWQ589678 AMT589677:AMU589678 ACX589677:ACY589678 TB589677:TC589678 JF589677:JG589678 K589677:L589678 WVR524141:WVS524142 WLV524141:WLW524142 WBZ524141:WCA524142 VSD524141:VSE524142 VIH524141:VII524142 UYL524141:UYM524142 UOP524141:UOQ524142 UET524141:UEU524142 TUX524141:TUY524142 TLB524141:TLC524142 TBF524141:TBG524142 SRJ524141:SRK524142 SHN524141:SHO524142 RXR524141:RXS524142 RNV524141:RNW524142 RDZ524141:REA524142 QUD524141:QUE524142 QKH524141:QKI524142 QAL524141:QAM524142 PQP524141:PQQ524142 PGT524141:PGU524142 OWX524141:OWY524142 ONB524141:ONC524142 ODF524141:ODG524142 NTJ524141:NTK524142 NJN524141:NJO524142 MZR524141:MZS524142 MPV524141:MPW524142 MFZ524141:MGA524142 LWD524141:LWE524142 LMH524141:LMI524142 LCL524141:LCM524142 KSP524141:KSQ524142 KIT524141:KIU524142 JYX524141:JYY524142 JPB524141:JPC524142 JFF524141:JFG524142 IVJ524141:IVK524142 ILN524141:ILO524142 IBR524141:IBS524142 HRV524141:HRW524142 HHZ524141:HIA524142 GYD524141:GYE524142 GOH524141:GOI524142 GEL524141:GEM524142 FUP524141:FUQ524142 FKT524141:FKU524142 FAX524141:FAY524142 ERB524141:ERC524142 EHF524141:EHG524142 DXJ524141:DXK524142 DNN524141:DNO524142 DDR524141:DDS524142 CTV524141:CTW524142 CJZ524141:CKA524142 CAD524141:CAE524142 BQH524141:BQI524142 BGL524141:BGM524142 AWP524141:AWQ524142 AMT524141:AMU524142 ACX524141:ACY524142 TB524141:TC524142 JF524141:JG524142 K524141:L524142 WVR458605:WVS458606 WLV458605:WLW458606 WBZ458605:WCA458606 VSD458605:VSE458606 VIH458605:VII458606 UYL458605:UYM458606 UOP458605:UOQ458606 UET458605:UEU458606 TUX458605:TUY458606 TLB458605:TLC458606 TBF458605:TBG458606 SRJ458605:SRK458606 SHN458605:SHO458606 RXR458605:RXS458606 RNV458605:RNW458606 RDZ458605:REA458606 QUD458605:QUE458606 QKH458605:QKI458606 QAL458605:QAM458606 PQP458605:PQQ458606 PGT458605:PGU458606 OWX458605:OWY458606 ONB458605:ONC458606 ODF458605:ODG458606 NTJ458605:NTK458606 NJN458605:NJO458606 MZR458605:MZS458606 MPV458605:MPW458606 MFZ458605:MGA458606 LWD458605:LWE458606 LMH458605:LMI458606 LCL458605:LCM458606 KSP458605:KSQ458606 KIT458605:KIU458606 JYX458605:JYY458606 JPB458605:JPC458606 JFF458605:JFG458606 IVJ458605:IVK458606 ILN458605:ILO458606 IBR458605:IBS458606 HRV458605:HRW458606 HHZ458605:HIA458606 GYD458605:GYE458606 GOH458605:GOI458606 GEL458605:GEM458606 FUP458605:FUQ458606 FKT458605:FKU458606 FAX458605:FAY458606 ERB458605:ERC458606 EHF458605:EHG458606 DXJ458605:DXK458606 DNN458605:DNO458606 DDR458605:DDS458606 CTV458605:CTW458606 CJZ458605:CKA458606 CAD458605:CAE458606 BQH458605:BQI458606 BGL458605:BGM458606 AWP458605:AWQ458606 AMT458605:AMU458606 ACX458605:ACY458606 TB458605:TC458606 JF458605:JG458606 K458605:L458606 WVR393069:WVS393070 WLV393069:WLW393070 WBZ393069:WCA393070 VSD393069:VSE393070 VIH393069:VII393070 UYL393069:UYM393070 UOP393069:UOQ393070 UET393069:UEU393070 TUX393069:TUY393070 TLB393069:TLC393070 TBF393069:TBG393070 SRJ393069:SRK393070 SHN393069:SHO393070 RXR393069:RXS393070 RNV393069:RNW393070 RDZ393069:REA393070 QUD393069:QUE393070 QKH393069:QKI393070 QAL393069:QAM393070 PQP393069:PQQ393070 PGT393069:PGU393070 OWX393069:OWY393070 ONB393069:ONC393070 ODF393069:ODG393070 NTJ393069:NTK393070 NJN393069:NJO393070 MZR393069:MZS393070 MPV393069:MPW393070 MFZ393069:MGA393070 LWD393069:LWE393070 LMH393069:LMI393070 LCL393069:LCM393070 KSP393069:KSQ393070 KIT393069:KIU393070 JYX393069:JYY393070 JPB393069:JPC393070 JFF393069:JFG393070 IVJ393069:IVK393070 ILN393069:ILO393070 IBR393069:IBS393070 HRV393069:HRW393070 HHZ393069:HIA393070 GYD393069:GYE393070 GOH393069:GOI393070 GEL393069:GEM393070 FUP393069:FUQ393070 FKT393069:FKU393070 FAX393069:FAY393070 ERB393069:ERC393070 EHF393069:EHG393070 DXJ393069:DXK393070 DNN393069:DNO393070 DDR393069:DDS393070 CTV393069:CTW393070 CJZ393069:CKA393070 CAD393069:CAE393070 BQH393069:BQI393070 BGL393069:BGM393070 AWP393069:AWQ393070 AMT393069:AMU393070 ACX393069:ACY393070 TB393069:TC393070 JF393069:JG393070 K393069:L393070 WVR327533:WVS327534 WLV327533:WLW327534 WBZ327533:WCA327534 VSD327533:VSE327534 VIH327533:VII327534 UYL327533:UYM327534 UOP327533:UOQ327534 UET327533:UEU327534 TUX327533:TUY327534 TLB327533:TLC327534 TBF327533:TBG327534 SRJ327533:SRK327534 SHN327533:SHO327534 RXR327533:RXS327534 RNV327533:RNW327534 RDZ327533:REA327534 QUD327533:QUE327534 QKH327533:QKI327534 QAL327533:QAM327534 PQP327533:PQQ327534 PGT327533:PGU327534 OWX327533:OWY327534 ONB327533:ONC327534 ODF327533:ODG327534 NTJ327533:NTK327534 NJN327533:NJO327534 MZR327533:MZS327534 MPV327533:MPW327534 MFZ327533:MGA327534 LWD327533:LWE327534 LMH327533:LMI327534 LCL327533:LCM327534 KSP327533:KSQ327534 KIT327533:KIU327534 JYX327533:JYY327534 JPB327533:JPC327534 JFF327533:JFG327534 IVJ327533:IVK327534 ILN327533:ILO327534 IBR327533:IBS327534 HRV327533:HRW327534 HHZ327533:HIA327534 GYD327533:GYE327534 GOH327533:GOI327534 GEL327533:GEM327534 FUP327533:FUQ327534 FKT327533:FKU327534 FAX327533:FAY327534 ERB327533:ERC327534 EHF327533:EHG327534 DXJ327533:DXK327534 DNN327533:DNO327534 DDR327533:DDS327534 CTV327533:CTW327534 CJZ327533:CKA327534 CAD327533:CAE327534 BQH327533:BQI327534 BGL327533:BGM327534 AWP327533:AWQ327534 AMT327533:AMU327534 ACX327533:ACY327534 TB327533:TC327534 JF327533:JG327534 K327533:L327534 WVR261997:WVS261998 WLV261997:WLW261998 WBZ261997:WCA261998 VSD261997:VSE261998 VIH261997:VII261998 UYL261997:UYM261998 UOP261997:UOQ261998 UET261997:UEU261998 TUX261997:TUY261998 TLB261997:TLC261998 TBF261997:TBG261998 SRJ261997:SRK261998 SHN261997:SHO261998 RXR261997:RXS261998 RNV261997:RNW261998 RDZ261997:REA261998 QUD261997:QUE261998 QKH261997:QKI261998 QAL261997:QAM261998 PQP261997:PQQ261998 PGT261997:PGU261998 OWX261997:OWY261998 ONB261997:ONC261998 ODF261997:ODG261998 NTJ261997:NTK261998 NJN261997:NJO261998 MZR261997:MZS261998 MPV261997:MPW261998 MFZ261997:MGA261998 LWD261997:LWE261998 LMH261997:LMI261998 LCL261997:LCM261998 KSP261997:KSQ261998 KIT261997:KIU261998 JYX261997:JYY261998 JPB261997:JPC261998 JFF261997:JFG261998 IVJ261997:IVK261998 ILN261997:ILO261998 IBR261997:IBS261998 HRV261997:HRW261998 HHZ261997:HIA261998 GYD261997:GYE261998 GOH261997:GOI261998 GEL261997:GEM261998 FUP261997:FUQ261998 FKT261997:FKU261998 FAX261997:FAY261998 ERB261997:ERC261998 EHF261997:EHG261998 DXJ261997:DXK261998 DNN261997:DNO261998 DDR261997:DDS261998 CTV261997:CTW261998 CJZ261997:CKA261998 CAD261997:CAE261998 BQH261997:BQI261998 BGL261997:BGM261998 AWP261997:AWQ261998 AMT261997:AMU261998 ACX261997:ACY261998 TB261997:TC261998 JF261997:JG261998 K261997:L261998 WVR196461:WVS196462 WLV196461:WLW196462 WBZ196461:WCA196462 VSD196461:VSE196462 VIH196461:VII196462 UYL196461:UYM196462 UOP196461:UOQ196462 UET196461:UEU196462 TUX196461:TUY196462 TLB196461:TLC196462 TBF196461:TBG196462 SRJ196461:SRK196462 SHN196461:SHO196462 RXR196461:RXS196462 RNV196461:RNW196462 RDZ196461:REA196462 QUD196461:QUE196462 QKH196461:QKI196462 QAL196461:QAM196462 PQP196461:PQQ196462 PGT196461:PGU196462 OWX196461:OWY196462 ONB196461:ONC196462 ODF196461:ODG196462 NTJ196461:NTK196462 NJN196461:NJO196462 MZR196461:MZS196462 MPV196461:MPW196462 MFZ196461:MGA196462 LWD196461:LWE196462 LMH196461:LMI196462 LCL196461:LCM196462 KSP196461:KSQ196462 KIT196461:KIU196462 JYX196461:JYY196462 JPB196461:JPC196462 JFF196461:JFG196462 IVJ196461:IVK196462 ILN196461:ILO196462 IBR196461:IBS196462 HRV196461:HRW196462 HHZ196461:HIA196462 GYD196461:GYE196462 GOH196461:GOI196462 GEL196461:GEM196462 FUP196461:FUQ196462 FKT196461:FKU196462 FAX196461:FAY196462 ERB196461:ERC196462 EHF196461:EHG196462 DXJ196461:DXK196462 DNN196461:DNO196462 DDR196461:DDS196462 CTV196461:CTW196462 CJZ196461:CKA196462 CAD196461:CAE196462 BQH196461:BQI196462 BGL196461:BGM196462 AWP196461:AWQ196462 AMT196461:AMU196462 ACX196461:ACY196462 TB196461:TC196462 JF196461:JG196462 K196461:L196462 WVR130925:WVS130926 WLV130925:WLW130926 WBZ130925:WCA130926 VSD130925:VSE130926 VIH130925:VII130926 UYL130925:UYM130926 UOP130925:UOQ130926 UET130925:UEU130926 TUX130925:TUY130926 TLB130925:TLC130926 TBF130925:TBG130926 SRJ130925:SRK130926 SHN130925:SHO130926 RXR130925:RXS130926 RNV130925:RNW130926 RDZ130925:REA130926 QUD130925:QUE130926 QKH130925:QKI130926 QAL130925:QAM130926 PQP130925:PQQ130926 PGT130925:PGU130926 OWX130925:OWY130926 ONB130925:ONC130926 ODF130925:ODG130926 NTJ130925:NTK130926 NJN130925:NJO130926 MZR130925:MZS130926 MPV130925:MPW130926 MFZ130925:MGA130926 LWD130925:LWE130926 LMH130925:LMI130926 LCL130925:LCM130926 KSP130925:KSQ130926 KIT130925:KIU130926 JYX130925:JYY130926 JPB130925:JPC130926 JFF130925:JFG130926 IVJ130925:IVK130926 ILN130925:ILO130926 IBR130925:IBS130926 HRV130925:HRW130926 HHZ130925:HIA130926 GYD130925:GYE130926 GOH130925:GOI130926 GEL130925:GEM130926 FUP130925:FUQ130926 FKT130925:FKU130926 FAX130925:FAY130926 ERB130925:ERC130926 EHF130925:EHG130926 DXJ130925:DXK130926 DNN130925:DNO130926 DDR130925:DDS130926 CTV130925:CTW130926 CJZ130925:CKA130926 CAD130925:CAE130926 BQH130925:BQI130926 BGL130925:BGM130926 AWP130925:AWQ130926 AMT130925:AMU130926 ACX130925:ACY130926 TB130925:TC130926 JF130925:JG130926 K130925:L130926 WVR65389:WVS65390 WLV65389:WLW65390 WBZ65389:WCA65390 VSD65389:VSE65390 VIH65389:VII65390 UYL65389:UYM65390 UOP65389:UOQ65390 UET65389:UEU65390 TUX65389:TUY65390 TLB65389:TLC65390 TBF65389:TBG65390 SRJ65389:SRK65390 SHN65389:SHO65390 RXR65389:RXS65390 RNV65389:RNW65390 RDZ65389:REA65390 QUD65389:QUE65390 QKH65389:QKI65390 QAL65389:QAM65390 PQP65389:PQQ65390 PGT65389:PGU65390 OWX65389:OWY65390 ONB65389:ONC65390 ODF65389:ODG65390 NTJ65389:NTK65390 NJN65389:NJO65390 MZR65389:MZS65390 MPV65389:MPW65390 MFZ65389:MGA65390 LWD65389:LWE65390 LMH65389:LMI65390 LCL65389:LCM65390 KSP65389:KSQ65390 KIT65389:KIU65390 JYX65389:JYY65390 JPB65389:JPC65390 JFF65389:JFG65390 IVJ65389:IVK65390 ILN65389:ILO65390 IBR65389:IBS65390 HRV65389:HRW65390 HHZ65389:HIA65390 GYD65389:GYE65390 GOH65389:GOI65390 GEL65389:GEM65390 FUP65389:FUQ65390 FKT65389:FKU65390 FAX65389:FAY65390 ERB65389:ERC65390 EHF65389:EHG65390 DXJ65389:DXK65390 DNN65389:DNO65390 DDR65389:DDS65390 CTV65389:CTW65390 CJZ65389:CKA65390 CAD65389:CAE65390 BQH65389:BQI65390 BGL65389:BGM65390 AWP65389:AWQ65390 AMT65389:AMU65390 ACX65389:ACY65390 TB65389:TC65390 JF65389:JG65390 K65358:L65387 WVR982862:WVS982891 WLV982862:WLW982891 WBZ982862:WCA982891 VSD982862:VSE982891 VIH982862:VII982891 UYL982862:UYM982891 UOP982862:UOQ982891 UET982862:UEU982891 TUX982862:TUY982891 TLB982862:TLC982891 TBF982862:TBG982891 SRJ982862:SRK982891 SHN982862:SHO982891 RXR982862:RXS982891 RNV982862:RNW982891 RDZ982862:REA982891 QUD982862:QUE982891 QKH982862:QKI982891 QAL982862:QAM982891 PQP982862:PQQ982891 PGT982862:PGU982891 OWX982862:OWY982891 ONB982862:ONC982891 ODF982862:ODG982891 NTJ982862:NTK982891 NJN982862:NJO982891 MZR982862:MZS982891 MPV982862:MPW982891 MFZ982862:MGA982891 LWD982862:LWE982891 LMH982862:LMI982891 LCL982862:LCM982891 KSP982862:KSQ982891 KIT982862:KIU982891 JYX982862:JYY982891 JPB982862:JPC982891 JFF982862:JFG982891 IVJ982862:IVK982891 ILN982862:ILO982891 IBR982862:IBS982891 HRV982862:HRW982891 HHZ982862:HIA982891 GYD982862:GYE982891 GOH982862:GOI982891 GEL982862:GEM982891 FUP982862:FUQ982891 FKT982862:FKU982891 FAX982862:FAY982891 ERB982862:ERC982891 EHF982862:EHG982891 DXJ982862:DXK982891 DNN982862:DNO982891 DDR982862:DDS982891 CTV982862:CTW982891 CJZ982862:CKA982891 CAD982862:CAE982891 BQH982862:BQI982891 BGL982862:BGM982891 AWP982862:AWQ982891 AMT982862:AMU982891 ACX982862:ACY982891 TB982862:TC982891 JF982862:JG982891 K982862:L982891 WVR917326:WVS917355 WLV917326:WLW917355 WBZ917326:WCA917355 VSD917326:VSE917355 VIH917326:VII917355 UYL917326:UYM917355 UOP917326:UOQ917355 UET917326:UEU917355 TUX917326:TUY917355 TLB917326:TLC917355 TBF917326:TBG917355 SRJ917326:SRK917355 SHN917326:SHO917355 RXR917326:RXS917355 RNV917326:RNW917355 RDZ917326:REA917355 QUD917326:QUE917355 QKH917326:QKI917355 QAL917326:QAM917355 PQP917326:PQQ917355 PGT917326:PGU917355 OWX917326:OWY917355 ONB917326:ONC917355 ODF917326:ODG917355 NTJ917326:NTK917355 NJN917326:NJO917355 MZR917326:MZS917355 MPV917326:MPW917355 MFZ917326:MGA917355 LWD917326:LWE917355 LMH917326:LMI917355 LCL917326:LCM917355 KSP917326:KSQ917355 KIT917326:KIU917355 JYX917326:JYY917355 JPB917326:JPC917355 JFF917326:JFG917355 IVJ917326:IVK917355 ILN917326:ILO917355 IBR917326:IBS917355 HRV917326:HRW917355 HHZ917326:HIA917355 GYD917326:GYE917355 GOH917326:GOI917355 GEL917326:GEM917355 FUP917326:FUQ917355 FKT917326:FKU917355 FAX917326:FAY917355 ERB917326:ERC917355 EHF917326:EHG917355 DXJ917326:DXK917355 DNN917326:DNO917355 DDR917326:DDS917355 CTV917326:CTW917355 CJZ917326:CKA917355 CAD917326:CAE917355 BQH917326:BQI917355 BGL917326:BGM917355 AWP917326:AWQ917355 AMT917326:AMU917355 ACX917326:ACY917355 TB917326:TC917355 JF917326:JG917355 K917326:L917355 WVR851790:WVS851819 WLV851790:WLW851819 WBZ851790:WCA851819 VSD851790:VSE851819 VIH851790:VII851819 UYL851790:UYM851819 UOP851790:UOQ851819 UET851790:UEU851819 TUX851790:TUY851819 TLB851790:TLC851819 TBF851790:TBG851819 SRJ851790:SRK851819 SHN851790:SHO851819 RXR851790:RXS851819 RNV851790:RNW851819 RDZ851790:REA851819 QUD851790:QUE851819 QKH851790:QKI851819 QAL851790:QAM851819 PQP851790:PQQ851819 PGT851790:PGU851819 OWX851790:OWY851819 ONB851790:ONC851819 ODF851790:ODG851819 NTJ851790:NTK851819 NJN851790:NJO851819 MZR851790:MZS851819 MPV851790:MPW851819 MFZ851790:MGA851819 LWD851790:LWE851819 LMH851790:LMI851819 LCL851790:LCM851819 KSP851790:KSQ851819 KIT851790:KIU851819 JYX851790:JYY851819 JPB851790:JPC851819 JFF851790:JFG851819 IVJ851790:IVK851819 ILN851790:ILO851819 IBR851790:IBS851819 HRV851790:HRW851819 HHZ851790:HIA851819 GYD851790:GYE851819 GOH851790:GOI851819 GEL851790:GEM851819 FUP851790:FUQ851819 FKT851790:FKU851819 FAX851790:FAY851819 ERB851790:ERC851819 EHF851790:EHG851819 DXJ851790:DXK851819 DNN851790:DNO851819 DDR851790:DDS851819 CTV851790:CTW851819 CJZ851790:CKA851819 CAD851790:CAE851819 BQH851790:BQI851819 BGL851790:BGM851819 AWP851790:AWQ851819 AMT851790:AMU851819 ACX851790:ACY851819 TB851790:TC851819 JF851790:JG851819 K851790:L851819 WVR786254:WVS786283 WLV786254:WLW786283 WBZ786254:WCA786283 VSD786254:VSE786283 VIH786254:VII786283 UYL786254:UYM786283 UOP786254:UOQ786283 UET786254:UEU786283 TUX786254:TUY786283 TLB786254:TLC786283 TBF786254:TBG786283 SRJ786254:SRK786283 SHN786254:SHO786283 RXR786254:RXS786283 RNV786254:RNW786283 RDZ786254:REA786283 QUD786254:QUE786283 QKH786254:QKI786283 QAL786254:QAM786283 PQP786254:PQQ786283 PGT786254:PGU786283 OWX786254:OWY786283 ONB786254:ONC786283 ODF786254:ODG786283 NTJ786254:NTK786283 NJN786254:NJO786283 MZR786254:MZS786283 MPV786254:MPW786283 MFZ786254:MGA786283 LWD786254:LWE786283 LMH786254:LMI786283 LCL786254:LCM786283 KSP786254:KSQ786283 KIT786254:KIU786283 JYX786254:JYY786283 JPB786254:JPC786283 JFF786254:JFG786283 IVJ786254:IVK786283 ILN786254:ILO786283 IBR786254:IBS786283 HRV786254:HRW786283 HHZ786254:HIA786283 GYD786254:GYE786283 GOH786254:GOI786283 GEL786254:GEM786283 FUP786254:FUQ786283 FKT786254:FKU786283 FAX786254:FAY786283 ERB786254:ERC786283 EHF786254:EHG786283 DXJ786254:DXK786283 DNN786254:DNO786283 DDR786254:DDS786283 CTV786254:CTW786283 CJZ786254:CKA786283 CAD786254:CAE786283 BQH786254:BQI786283 BGL786254:BGM786283 AWP786254:AWQ786283 AMT786254:AMU786283 ACX786254:ACY786283 TB786254:TC786283 JF786254:JG786283 K786254:L786283 WVR720718:WVS720747 WLV720718:WLW720747 WBZ720718:WCA720747 VSD720718:VSE720747 VIH720718:VII720747 UYL720718:UYM720747 UOP720718:UOQ720747 UET720718:UEU720747 TUX720718:TUY720747 TLB720718:TLC720747 TBF720718:TBG720747 SRJ720718:SRK720747 SHN720718:SHO720747 RXR720718:RXS720747 RNV720718:RNW720747 RDZ720718:REA720747 QUD720718:QUE720747 QKH720718:QKI720747 QAL720718:QAM720747 PQP720718:PQQ720747 PGT720718:PGU720747 OWX720718:OWY720747 ONB720718:ONC720747 ODF720718:ODG720747 NTJ720718:NTK720747 NJN720718:NJO720747 MZR720718:MZS720747 MPV720718:MPW720747 MFZ720718:MGA720747 LWD720718:LWE720747 LMH720718:LMI720747 LCL720718:LCM720747 KSP720718:KSQ720747 KIT720718:KIU720747 JYX720718:JYY720747 JPB720718:JPC720747 JFF720718:JFG720747 IVJ720718:IVK720747 ILN720718:ILO720747 IBR720718:IBS720747 HRV720718:HRW720747 HHZ720718:HIA720747 GYD720718:GYE720747 GOH720718:GOI720747 GEL720718:GEM720747 FUP720718:FUQ720747 FKT720718:FKU720747 FAX720718:FAY720747 ERB720718:ERC720747 EHF720718:EHG720747 DXJ720718:DXK720747 DNN720718:DNO720747 DDR720718:DDS720747 CTV720718:CTW720747 CJZ720718:CKA720747 CAD720718:CAE720747 BQH720718:BQI720747 BGL720718:BGM720747 AWP720718:AWQ720747 AMT720718:AMU720747 ACX720718:ACY720747 TB720718:TC720747 JF720718:JG720747 K720718:L720747 WVR655182:WVS655211 WLV655182:WLW655211 WBZ655182:WCA655211 VSD655182:VSE655211 VIH655182:VII655211 UYL655182:UYM655211 UOP655182:UOQ655211 UET655182:UEU655211 TUX655182:TUY655211 TLB655182:TLC655211 TBF655182:TBG655211 SRJ655182:SRK655211 SHN655182:SHO655211 RXR655182:RXS655211 RNV655182:RNW655211 RDZ655182:REA655211 QUD655182:QUE655211 QKH655182:QKI655211 QAL655182:QAM655211 PQP655182:PQQ655211 PGT655182:PGU655211 OWX655182:OWY655211 ONB655182:ONC655211 ODF655182:ODG655211 NTJ655182:NTK655211 NJN655182:NJO655211 MZR655182:MZS655211 MPV655182:MPW655211 MFZ655182:MGA655211 LWD655182:LWE655211 LMH655182:LMI655211 LCL655182:LCM655211 KSP655182:KSQ655211 KIT655182:KIU655211 JYX655182:JYY655211 JPB655182:JPC655211 JFF655182:JFG655211 IVJ655182:IVK655211 ILN655182:ILO655211 IBR655182:IBS655211 HRV655182:HRW655211 HHZ655182:HIA655211 GYD655182:GYE655211 GOH655182:GOI655211 GEL655182:GEM655211 FUP655182:FUQ655211 FKT655182:FKU655211 FAX655182:FAY655211 ERB655182:ERC655211 EHF655182:EHG655211 DXJ655182:DXK655211 DNN655182:DNO655211 DDR655182:DDS655211 CTV655182:CTW655211 CJZ655182:CKA655211 CAD655182:CAE655211 BQH655182:BQI655211 BGL655182:BGM655211 AWP655182:AWQ655211 AMT655182:AMU655211 ACX655182:ACY655211 TB655182:TC655211 JF655182:JG655211 K655182:L655211 WVR589646:WVS589675 WLV589646:WLW589675 WBZ589646:WCA589675 VSD589646:VSE589675 VIH589646:VII589675 UYL589646:UYM589675 UOP589646:UOQ589675 UET589646:UEU589675 TUX589646:TUY589675 TLB589646:TLC589675 TBF589646:TBG589675 SRJ589646:SRK589675 SHN589646:SHO589675 RXR589646:RXS589675 RNV589646:RNW589675 RDZ589646:REA589675 QUD589646:QUE589675 QKH589646:QKI589675 QAL589646:QAM589675 PQP589646:PQQ589675 PGT589646:PGU589675 OWX589646:OWY589675 ONB589646:ONC589675 ODF589646:ODG589675 NTJ589646:NTK589675 NJN589646:NJO589675 MZR589646:MZS589675 MPV589646:MPW589675 MFZ589646:MGA589675 LWD589646:LWE589675 LMH589646:LMI589675 LCL589646:LCM589675 KSP589646:KSQ589675 KIT589646:KIU589675 JYX589646:JYY589675 JPB589646:JPC589675 JFF589646:JFG589675 IVJ589646:IVK589675 ILN589646:ILO589675 IBR589646:IBS589675 HRV589646:HRW589675 HHZ589646:HIA589675 GYD589646:GYE589675 GOH589646:GOI589675 GEL589646:GEM589675 FUP589646:FUQ589675 FKT589646:FKU589675 FAX589646:FAY589675 ERB589646:ERC589675 EHF589646:EHG589675 DXJ589646:DXK589675 DNN589646:DNO589675 DDR589646:DDS589675 CTV589646:CTW589675 CJZ589646:CKA589675 CAD589646:CAE589675 BQH589646:BQI589675 BGL589646:BGM589675 AWP589646:AWQ589675 AMT589646:AMU589675 ACX589646:ACY589675 TB589646:TC589675 JF589646:JG589675 K589646:L589675 WVR524110:WVS524139 WLV524110:WLW524139 WBZ524110:WCA524139 VSD524110:VSE524139 VIH524110:VII524139 UYL524110:UYM524139 UOP524110:UOQ524139 UET524110:UEU524139 TUX524110:TUY524139 TLB524110:TLC524139 TBF524110:TBG524139 SRJ524110:SRK524139 SHN524110:SHO524139 RXR524110:RXS524139 RNV524110:RNW524139 RDZ524110:REA524139 QUD524110:QUE524139 QKH524110:QKI524139 QAL524110:QAM524139 PQP524110:PQQ524139 PGT524110:PGU524139 OWX524110:OWY524139 ONB524110:ONC524139 ODF524110:ODG524139 NTJ524110:NTK524139 NJN524110:NJO524139 MZR524110:MZS524139 MPV524110:MPW524139 MFZ524110:MGA524139 LWD524110:LWE524139 LMH524110:LMI524139 LCL524110:LCM524139 KSP524110:KSQ524139 KIT524110:KIU524139 JYX524110:JYY524139 JPB524110:JPC524139 JFF524110:JFG524139 IVJ524110:IVK524139 ILN524110:ILO524139 IBR524110:IBS524139 HRV524110:HRW524139 HHZ524110:HIA524139 GYD524110:GYE524139 GOH524110:GOI524139 GEL524110:GEM524139 FUP524110:FUQ524139 FKT524110:FKU524139 FAX524110:FAY524139 ERB524110:ERC524139 EHF524110:EHG524139 DXJ524110:DXK524139 DNN524110:DNO524139 DDR524110:DDS524139 CTV524110:CTW524139 CJZ524110:CKA524139 CAD524110:CAE524139 BQH524110:BQI524139 BGL524110:BGM524139 AWP524110:AWQ524139 AMT524110:AMU524139 ACX524110:ACY524139 TB524110:TC524139 JF524110:JG524139 K524110:L524139 WVR458574:WVS458603 WLV458574:WLW458603 WBZ458574:WCA458603 VSD458574:VSE458603 VIH458574:VII458603 UYL458574:UYM458603 UOP458574:UOQ458603 UET458574:UEU458603 TUX458574:TUY458603 TLB458574:TLC458603 TBF458574:TBG458603 SRJ458574:SRK458603 SHN458574:SHO458603 RXR458574:RXS458603 RNV458574:RNW458603 RDZ458574:REA458603 QUD458574:QUE458603 QKH458574:QKI458603 QAL458574:QAM458603 PQP458574:PQQ458603 PGT458574:PGU458603 OWX458574:OWY458603 ONB458574:ONC458603 ODF458574:ODG458603 NTJ458574:NTK458603 NJN458574:NJO458603 MZR458574:MZS458603 MPV458574:MPW458603 MFZ458574:MGA458603 LWD458574:LWE458603 LMH458574:LMI458603 LCL458574:LCM458603 KSP458574:KSQ458603 KIT458574:KIU458603 JYX458574:JYY458603 JPB458574:JPC458603 JFF458574:JFG458603 IVJ458574:IVK458603 ILN458574:ILO458603 IBR458574:IBS458603 HRV458574:HRW458603 HHZ458574:HIA458603 GYD458574:GYE458603 GOH458574:GOI458603 GEL458574:GEM458603 FUP458574:FUQ458603 FKT458574:FKU458603 FAX458574:FAY458603 ERB458574:ERC458603 EHF458574:EHG458603 DXJ458574:DXK458603 DNN458574:DNO458603 DDR458574:DDS458603 CTV458574:CTW458603 CJZ458574:CKA458603 CAD458574:CAE458603 BQH458574:BQI458603 BGL458574:BGM458603 AWP458574:AWQ458603 AMT458574:AMU458603 ACX458574:ACY458603 TB458574:TC458603 JF458574:JG458603 K458574:L458603 WVR393038:WVS393067 WLV393038:WLW393067 WBZ393038:WCA393067 VSD393038:VSE393067 VIH393038:VII393067 UYL393038:UYM393067 UOP393038:UOQ393067 UET393038:UEU393067 TUX393038:TUY393067 TLB393038:TLC393067 TBF393038:TBG393067 SRJ393038:SRK393067 SHN393038:SHO393067 RXR393038:RXS393067 RNV393038:RNW393067 RDZ393038:REA393067 QUD393038:QUE393067 QKH393038:QKI393067 QAL393038:QAM393067 PQP393038:PQQ393067 PGT393038:PGU393067 OWX393038:OWY393067 ONB393038:ONC393067 ODF393038:ODG393067 NTJ393038:NTK393067 NJN393038:NJO393067 MZR393038:MZS393067 MPV393038:MPW393067 MFZ393038:MGA393067 LWD393038:LWE393067 LMH393038:LMI393067 LCL393038:LCM393067 KSP393038:KSQ393067 KIT393038:KIU393067 JYX393038:JYY393067 JPB393038:JPC393067 JFF393038:JFG393067 IVJ393038:IVK393067 ILN393038:ILO393067 IBR393038:IBS393067 HRV393038:HRW393067 HHZ393038:HIA393067 GYD393038:GYE393067 GOH393038:GOI393067 GEL393038:GEM393067 FUP393038:FUQ393067 FKT393038:FKU393067 FAX393038:FAY393067 ERB393038:ERC393067 EHF393038:EHG393067 DXJ393038:DXK393067 DNN393038:DNO393067 DDR393038:DDS393067 CTV393038:CTW393067 CJZ393038:CKA393067 CAD393038:CAE393067 BQH393038:BQI393067 BGL393038:BGM393067 AWP393038:AWQ393067 AMT393038:AMU393067 ACX393038:ACY393067 TB393038:TC393067 JF393038:JG393067 K393038:L393067 WVR327502:WVS327531 WLV327502:WLW327531 WBZ327502:WCA327531 VSD327502:VSE327531 VIH327502:VII327531 UYL327502:UYM327531 UOP327502:UOQ327531 UET327502:UEU327531 TUX327502:TUY327531 TLB327502:TLC327531 TBF327502:TBG327531 SRJ327502:SRK327531 SHN327502:SHO327531 RXR327502:RXS327531 RNV327502:RNW327531 RDZ327502:REA327531 QUD327502:QUE327531 QKH327502:QKI327531 QAL327502:QAM327531 PQP327502:PQQ327531 PGT327502:PGU327531 OWX327502:OWY327531 ONB327502:ONC327531 ODF327502:ODG327531 NTJ327502:NTK327531 NJN327502:NJO327531 MZR327502:MZS327531 MPV327502:MPW327531 MFZ327502:MGA327531 LWD327502:LWE327531 LMH327502:LMI327531 LCL327502:LCM327531 KSP327502:KSQ327531 KIT327502:KIU327531 JYX327502:JYY327531 JPB327502:JPC327531 JFF327502:JFG327531 IVJ327502:IVK327531 ILN327502:ILO327531 IBR327502:IBS327531 HRV327502:HRW327531 HHZ327502:HIA327531 GYD327502:GYE327531 GOH327502:GOI327531 GEL327502:GEM327531 FUP327502:FUQ327531 FKT327502:FKU327531 FAX327502:FAY327531 ERB327502:ERC327531 EHF327502:EHG327531 DXJ327502:DXK327531 DNN327502:DNO327531 DDR327502:DDS327531 CTV327502:CTW327531 CJZ327502:CKA327531 CAD327502:CAE327531 BQH327502:BQI327531 BGL327502:BGM327531 AWP327502:AWQ327531 AMT327502:AMU327531 ACX327502:ACY327531 TB327502:TC327531 JF327502:JG327531 K327502:L327531 WVR261966:WVS261995 WLV261966:WLW261995 WBZ261966:WCA261995 VSD261966:VSE261995 VIH261966:VII261995 UYL261966:UYM261995 UOP261966:UOQ261995 UET261966:UEU261995 TUX261966:TUY261995 TLB261966:TLC261995 TBF261966:TBG261995 SRJ261966:SRK261995 SHN261966:SHO261995 RXR261966:RXS261995 RNV261966:RNW261995 RDZ261966:REA261995 QUD261966:QUE261995 QKH261966:QKI261995 QAL261966:QAM261995 PQP261966:PQQ261995 PGT261966:PGU261995 OWX261966:OWY261995 ONB261966:ONC261995 ODF261966:ODG261995 NTJ261966:NTK261995 NJN261966:NJO261995 MZR261966:MZS261995 MPV261966:MPW261995 MFZ261966:MGA261995 LWD261966:LWE261995 LMH261966:LMI261995 LCL261966:LCM261995 KSP261966:KSQ261995 KIT261966:KIU261995 JYX261966:JYY261995 JPB261966:JPC261995 JFF261966:JFG261995 IVJ261966:IVK261995 ILN261966:ILO261995 IBR261966:IBS261995 HRV261966:HRW261995 HHZ261966:HIA261995 GYD261966:GYE261995 GOH261966:GOI261995 GEL261966:GEM261995 FUP261966:FUQ261995 FKT261966:FKU261995 FAX261966:FAY261995 ERB261966:ERC261995 EHF261966:EHG261995 DXJ261966:DXK261995 DNN261966:DNO261995 DDR261966:DDS261995 CTV261966:CTW261995 CJZ261966:CKA261995 CAD261966:CAE261995 BQH261966:BQI261995 BGL261966:BGM261995 AWP261966:AWQ261995 AMT261966:AMU261995 ACX261966:ACY261995 TB261966:TC261995 JF261966:JG261995 K261966:L261995 WVR196430:WVS196459 WLV196430:WLW196459 WBZ196430:WCA196459 VSD196430:VSE196459 VIH196430:VII196459 UYL196430:UYM196459 UOP196430:UOQ196459 UET196430:UEU196459 TUX196430:TUY196459 TLB196430:TLC196459 TBF196430:TBG196459 SRJ196430:SRK196459 SHN196430:SHO196459 RXR196430:RXS196459 RNV196430:RNW196459 RDZ196430:REA196459 QUD196430:QUE196459 QKH196430:QKI196459 QAL196430:QAM196459 PQP196430:PQQ196459 PGT196430:PGU196459 OWX196430:OWY196459 ONB196430:ONC196459 ODF196430:ODG196459 NTJ196430:NTK196459 NJN196430:NJO196459 MZR196430:MZS196459 MPV196430:MPW196459 MFZ196430:MGA196459 LWD196430:LWE196459 LMH196430:LMI196459 LCL196430:LCM196459 KSP196430:KSQ196459 KIT196430:KIU196459 JYX196430:JYY196459 JPB196430:JPC196459 JFF196430:JFG196459 IVJ196430:IVK196459 ILN196430:ILO196459 IBR196430:IBS196459 HRV196430:HRW196459 HHZ196430:HIA196459 GYD196430:GYE196459 GOH196430:GOI196459 GEL196430:GEM196459 FUP196430:FUQ196459 FKT196430:FKU196459 FAX196430:FAY196459 ERB196430:ERC196459 EHF196430:EHG196459 DXJ196430:DXK196459 DNN196430:DNO196459 DDR196430:DDS196459 CTV196430:CTW196459 CJZ196430:CKA196459 CAD196430:CAE196459 BQH196430:BQI196459 BGL196430:BGM196459 AWP196430:AWQ196459 AMT196430:AMU196459 ACX196430:ACY196459 TB196430:TC196459 JF196430:JG196459 K196430:L196459 WVR130894:WVS130923 WLV130894:WLW130923 WBZ130894:WCA130923 VSD130894:VSE130923 VIH130894:VII130923 UYL130894:UYM130923 UOP130894:UOQ130923 UET130894:UEU130923 TUX130894:TUY130923 TLB130894:TLC130923 TBF130894:TBG130923 SRJ130894:SRK130923 SHN130894:SHO130923 RXR130894:RXS130923 RNV130894:RNW130923 RDZ130894:REA130923 QUD130894:QUE130923 QKH130894:QKI130923 QAL130894:QAM130923 PQP130894:PQQ130923 PGT130894:PGU130923 OWX130894:OWY130923 ONB130894:ONC130923 ODF130894:ODG130923 NTJ130894:NTK130923 NJN130894:NJO130923 MZR130894:MZS130923 MPV130894:MPW130923 MFZ130894:MGA130923 LWD130894:LWE130923 LMH130894:LMI130923 LCL130894:LCM130923 KSP130894:KSQ130923 KIT130894:KIU130923 JYX130894:JYY130923 JPB130894:JPC130923 JFF130894:JFG130923 IVJ130894:IVK130923 ILN130894:ILO130923 IBR130894:IBS130923 HRV130894:HRW130923 HHZ130894:HIA130923 GYD130894:GYE130923 GOH130894:GOI130923 GEL130894:GEM130923 FUP130894:FUQ130923 FKT130894:FKU130923 FAX130894:FAY130923 ERB130894:ERC130923 EHF130894:EHG130923 DXJ130894:DXK130923 DNN130894:DNO130923 DDR130894:DDS130923 CTV130894:CTW130923 CJZ130894:CKA130923 CAD130894:CAE130923 BQH130894:BQI130923 BGL130894:BGM130923 AWP130894:AWQ130923 AMT130894:AMU130923 ACX130894:ACY130923 TB130894:TC130923 JF130894:JG130923 K130894:L130923 WVR65358:WVS65387 WLV65358:WLW65387 WBZ65358:WCA65387 VSD65358:VSE65387 VIH65358:VII65387 UYL65358:UYM65387 UOP65358:UOQ65387 UET65358:UEU65387 TUX65358:TUY65387 TLB65358:TLC65387 TBF65358:TBG65387 SRJ65358:SRK65387 SHN65358:SHO65387 RXR65358:RXS65387 RNV65358:RNW65387 RDZ65358:REA65387 QUD65358:QUE65387 QKH65358:QKI65387 QAL65358:QAM65387 PQP65358:PQQ65387 PGT65358:PGU65387 OWX65358:OWY65387 ONB65358:ONC65387 ODF65358:ODG65387 NTJ65358:NTK65387 NJN65358:NJO65387 MZR65358:MZS65387 MPV65358:MPW65387 MFZ65358:MGA65387 LWD65358:LWE65387 LMH65358:LMI65387 LCL65358:LCM65387 KSP65358:KSQ65387 KIT65358:KIU65387 JYX65358:JYY65387 JPB65358:JPC65387 JFF65358:JFG65387 IVJ65358:IVK65387 ILN65358:ILO65387 IBR65358:IBS65387 HRV65358:HRW65387 HHZ65358:HIA65387 GYD65358:GYE65387 GOH65358:GOI65387 GEL65358:GEM65387 FUP65358:FUQ65387 FKT65358:FKU65387 FAX65358:FAY65387 ERB65358:ERC65387 EHF65358:EHG65387 DXJ65358:DXK65387 DNN65358:DNO65387 DDR65358:DDS65387 CTV65358:CTW65387 CJZ65358:CKA65387 CAD65358:CAE65387 BQH65358:BQI65387 BGL65358:BGM65387 AWP65358:AWQ65387 AMT65358:AMU65387 ACX65358:ACY65387 TB65358:TC65387 JF65358:JG65387 WVR2:WVS50 WLV2:WLW50 WBZ2:WCA50 VSD2:VSE50 VIH2:VII50 UYL2:UYM50 UOP2:UOQ50 UET2:UEU50 TUX2:TUY50 TLB2:TLC50 TBF2:TBG50 SRJ2:SRK50 SHN2:SHO50 RXR2:RXS50 RNV2:RNW50 RDZ2:REA50 QUD2:QUE50 QKH2:QKI50 QAL2:QAM50 PQP2:PQQ50 PGT2:PGU50 OWX2:OWY50 ONB2:ONC50 ODF2:ODG50 NTJ2:NTK50 NJN2:NJO50 MZR2:MZS50 MPV2:MPW50 MFZ2:MGA50 LWD2:LWE50 LMH2:LMI50 LCL2:LCM50 KSP2:KSQ50 KIT2:KIU50 JYX2:JYY50 JPB2:JPC50 JFF2:JFG50 IVJ2:IVK50 ILN2:ILO50 IBR2:IBS50 HRV2:HRW50 HHZ2:HIA50 GYD2:GYE50 GOH2:GOI50 GEL2:GEM50 FUP2:FUQ50 FKT2:FKU50 FAX2:FAY50 ERB2:ERC50 EHF2:EHG50 DXJ2:DXK50 DNN2:DNO50 DDR2:DDS50 CTV2:CTW50 CJZ2:CKA50 CAD2:CAE50 BQH2:BQI50 BGL2:BGM50 AWP2:AWQ50 AMT2:AMU50 ACX2:ACY50 TB2:TC50 JF2:JG50 K2:L50" xr:uid="{355C148A-81D8-44A2-B63B-1A35F3F143B1}">
      <formula1>#REF!</formula1>
    </dataValidation>
    <dataValidation type="decimal" allowBlank="1" showInputMessage="1" showErrorMessage="1" sqref="J18 JE18 TA18 ACW18 AMS18 AWO18 BGK18 BQG18 CAC18 CJY18 CTU18 DDQ18 DNM18 DXI18 EHE18 ERA18 FAW18 FKS18 FUO18 GEK18 GOG18 GYC18 HHY18 HRU18 IBQ18 ILM18 IVI18 JFE18 JPA18 JYW18 KIS18 KSO18 LCK18 LMG18 LWC18 MFY18 MPU18 MZQ18 NJM18 NTI18 ODE18 ONA18 OWW18 PGS18 PQO18 QAK18 QKG18 QUC18 RDY18 RNU18 RXQ18 SHM18 SRI18 TBE18 TLA18 TUW18 UES18 UOO18 UYK18 VIG18 VSC18 WBY18 WLU18 WVQ18 J65373 JE65373 TA65373 ACW65373 AMS65373 AWO65373 BGK65373 BQG65373 CAC65373 CJY65373 CTU65373 DDQ65373 DNM65373 DXI65373 EHE65373 ERA65373 FAW65373 FKS65373 FUO65373 GEK65373 GOG65373 GYC65373 HHY65373 HRU65373 IBQ65373 ILM65373 IVI65373 JFE65373 JPA65373 JYW65373 KIS65373 KSO65373 LCK65373 LMG65373 LWC65373 MFY65373 MPU65373 MZQ65373 NJM65373 NTI65373 ODE65373 ONA65373 OWW65373 PGS65373 PQO65373 QAK65373 QKG65373 QUC65373 RDY65373 RNU65373 RXQ65373 SHM65373 SRI65373 TBE65373 TLA65373 TUW65373 UES65373 UOO65373 UYK65373 VIG65373 VSC65373 WBY65373 WLU65373 WVQ65373 J130909 JE130909 TA130909 ACW130909 AMS130909 AWO130909 BGK130909 BQG130909 CAC130909 CJY130909 CTU130909 DDQ130909 DNM130909 DXI130909 EHE130909 ERA130909 FAW130909 FKS130909 FUO130909 GEK130909 GOG130909 GYC130909 HHY130909 HRU130909 IBQ130909 ILM130909 IVI130909 JFE130909 JPA130909 JYW130909 KIS130909 KSO130909 LCK130909 LMG130909 LWC130909 MFY130909 MPU130909 MZQ130909 NJM130909 NTI130909 ODE130909 ONA130909 OWW130909 PGS130909 PQO130909 QAK130909 QKG130909 QUC130909 RDY130909 RNU130909 RXQ130909 SHM130909 SRI130909 TBE130909 TLA130909 TUW130909 UES130909 UOO130909 UYK130909 VIG130909 VSC130909 WBY130909 WLU130909 WVQ130909 J196445 JE196445 TA196445 ACW196445 AMS196445 AWO196445 BGK196445 BQG196445 CAC196445 CJY196445 CTU196445 DDQ196445 DNM196445 DXI196445 EHE196445 ERA196445 FAW196445 FKS196445 FUO196445 GEK196445 GOG196445 GYC196445 HHY196445 HRU196445 IBQ196445 ILM196445 IVI196445 JFE196445 JPA196445 JYW196445 KIS196445 KSO196445 LCK196445 LMG196445 LWC196445 MFY196445 MPU196445 MZQ196445 NJM196445 NTI196445 ODE196445 ONA196445 OWW196445 PGS196445 PQO196445 QAK196445 QKG196445 QUC196445 RDY196445 RNU196445 RXQ196445 SHM196445 SRI196445 TBE196445 TLA196445 TUW196445 UES196445 UOO196445 UYK196445 VIG196445 VSC196445 WBY196445 WLU196445 WVQ196445 J261981 JE261981 TA261981 ACW261981 AMS261981 AWO261981 BGK261981 BQG261981 CAC261981 CJY261981 CTU261981 DDQ261981 DNM261981 DXI261981 EHE261981 ERA261981 FAW261981 FKS261981 FUO261981 GEK261981 GOG261981 GYC261981 HHY261981 HRU261981 IBQ261981 ILM261981 IVI261981 JFE261981 JPA261981 JYW261981 KIS261981 KSO261981 LCK261981 LMG261981 LWC261981 MFY261981 MPU261981 MZQ261981 NJM261981 NTI261981 ODE261981 ONA261981 OWW261981 PGS261981 PQO261981 QAK261981 QKG261981 QUC261981 RDY261981 RNU261981 RXQ261981 SHM261981 SRI261981 TBE261981 TLA261981 TUW261981 UES261981 UOO261981 UYK261981 VIG261981 VSC261981 WBY261981 WLU261981 WVQ261981 J327517 JE327517 TA327517 ACW327517 AMS327517 AWO327517 BGK327517 BQG327517 CAC327517 CJY327517 CTU327517 DDQ327517 DNM327517 DXI327517 EHE327517 ERA327517 FAW327517 FKS327517 FUO327517 GEK327517 GOG327517 GYC327517 HHY327517 HRU327517 IBQ327517 ILM327517 IVI327517 JFE327517 JPA327517 JYW327517 KIS327517 KSO327517 LCK327517 LMG327517 LWC327517 MFY327517 MPU327517 MZQ327517 NJM327517 NTI327517 ODE327517 ONA327517 OWW327517 PGS327517 PQO327517 QAK327517 QKG327517 QUC327517 RDY327517 RNU327517 RXQ327517 SHM327517 SRI327517 TBE327517 TLA327517 TUW327517 UES327517 UOO327517 UYK327517 VIG327517 VSC327517 WBY327517 WLU327517 WVQ327517 J393053 JE393053 TA393053 ACW393053 AMS393053 AWO393053 BGK393053 BQG393053 CAC393053 CJY393053 CTU393053 DDQ393053 DNM393053 DXI393053 EHE393053 ERA393053 FAW393053 FKS393053 FUO393053 GEK393053 GOG393053 GYC393053 HHY393053 HRU393053 IBQ393053 ILM393053 IVI393053 JFE393053 JPA393053 JYW393053 KIS393053 KSO393053 LCK393053 LMG393053 LWC393053 MFY393053 MPU393053 MZQ393053 NJM393053 NTI393053 ODE393053 ONA393053 OWW393053 PGS393053 PQO393053 QAK393053 QKG393053 QUC393053 RDY393053 RNU393053 RXQ393053 SHM393053 SRI393053 TBE393053 TLA393053 TUW393053 UES393053 UOO393053 UYK393053 VIG393053 VSC393053 WBY393053 WLU393053 WVQ393053 J458589 JE458589 TA458589 ACW458589 AMS458589 AWO458589 BGK458589 BQG458589 CAC458589 CJY458589 CTU458589 DDQ458589 DNM458589 DXI458589 EHE458589 ERA458589 FAW458589 FKS458589 FUO458589 GEK458589 GOG458589 GYC458589 HHY458589 HRU458589 IBQ458589 ILM458589 IVI458589 JFE458589 JPA458589 JYW458589 KIS458589 KSO458589 LCK458589 LMG458589 LWC458589 MFY458589 MPU458589 MZQ458589 NJM458589 NTI458589 ODE458589 ONA458589 OWW458589 PGS458589 PQO458589 QAK458589 QKG458589 QUC458589 RDY458589 RNU458589 RXQ458589 SHM458589 SRI458589 TBE458589 TLA458589 TUW458589 UES458589 UOO458589 UYK458589 VIG458589 VSC458589 WBY458589 WLU458589 WVQ458589 J524125 JE524125 TA524125 ACW524125 AMS524125 AWO524125 BGK524125 BQG524125 CAC524125 CJY524125 CTU524125 DDQ524125 DNM524125 DXI524125 EHE524125 ERA524125 FAW524125 FKS524125 FUO524125 GEK524125 GOG524125 GYC524125 HHY524125 HRU524125 IBQ524125 ILM524125 IVI524125 JFE524125 JPA524125 JYW524125 KIS524125 KSO524125 LCK524125 LMG524125 LWC524125 MFY524125 MPU524125 MZQ524125 NJM524125 NTI524125 ODE524125 ONA524125 OWW524125 PGS524125 PQO524125 QAK524125 QKG524125 QUC524125 RDY524125 RNU524125 RXQ524125 SHM524125 SRI524125 TBE524125 TLA524125 TUW524125 UES524125 UOO524125 UYK524125 VIG524125 VSC524125 WBY524125 WLU524125 WVQ524125 J589661 JE589661 TA589661 ACW589661 AMS589661 AWO589661 BGK589661 BQG589661 CAC589661 CJY589661 CTU589661 DDQ589661 DNM589661 DXI589661 EHE589661 ERA589661 FAW589661 FKS589661 FUO589661 GEK589661 GOG589661 GYC589661 HHY589661 HRU589661 IBQ589661 ILM589661 IVI589661 JFE589661 JPA589661 JYW589661 KIS589661 KSO589661 LCK589661 LMG589661 LWC589661 MFY589661 MPU589661 MZQ589661 NJM589661 NTI589661 ODE589661 ONA589661 OWW589661 PGS589661 PQO589661 QAK589661 QKG589661 QUC589661 RDY589661 RNU589661 RXQ589661 SHM589661 SRI589661 TBE589661 TLA589661 TUW589661 UES589661 UOO589661 UYK589661 VIG589661 VSC589661 WBY589661 WLU589661 WVQ589661 J655197 JE655197 TA655197 ACW655197 AMS655197 AWO655197 BGK655197 BQG655197 CAC655197 CJY655197 CTU655197 DDQ655197 DNM655197 DXI655197 EHE655197 ERA655197 FAW655197 FKS655197 FUO655197 GEK655197 GOG655197 GYC655197 HHY655197 HRU655197 IBQ655197 ILM655197 IVI655197 JFE655197 JPA655197 JYW655197 KIS655197 KSO655197 LCK655197 LMG655197 LWC655197 MFY655197 MPU655197 MZQ655197 NJM655197 NTI655197 ODE655197 ONA655197 OWW655197 PGS655197 PQO655197 QAK655197 QKG655197 QUC655197 RDY655197 RNU655197 RXQ655197 SHM655197 SRI655197 TBE655197 TLA655197 TUW655197 UES655197 UOO655197 UYK655197 VIG655197 VSC655197 WBY655197 WLU655197 WVQ655197 J720733 JE720733 TA720733 ACW720733 AMS720733 AWO720733 BGK720733 BQG720733 CAC720733 CJY720733 CTU720733 DDQ720733 DNM720733 DXI720733 EHE720733 ERA720733 FAW720733 FKS720733 FUO720733 GEK720733 GOG720733 GYC720733 HHY720733 HRU720733 IBQ720733 ILM720733 IVI720733 JFE720733 JPA720733 JYW720733 KIS720733 KSO720733 LCK720733 LMG720733 LWC720733 MFY720733 MPU720733 MZQ720733 NJM720733 NTI720733 ODE720733 ONA720733 OWW720733 PGS720733 PQO720733 QAK720733 QKG720733 QUC720733 RDY720733 RNU720733 RXQ720733 SHM720733 SRI720733 TBE720733 TLA720733 TUW720733 UES720733 UOO720733 UYK720733 VIG720733 VSC720733 WBY720733 WLU720733 WVQ720733 J786269 JE786269 TA786269 ACW786269 AMS786269 AWO786269 BGK786269 BQG786269 CAC786269 CJY786269 CTU786269 DDQ786269 DNM786269 DXI786269 EHE786269 ERA786269 FAW786269 FKS786269 FUO786269 GEK786269 GOG786269 GYC786269 HHY786269 HRU786269 IBQ786269 ILM786269 IVI786269 JFE786269 JPA786269 JYW786269 KIS786269 KSO786269 LCK786269 LMG786269 LWC786269 MFY786269 MPU786269 MZQ786269 NJM786269 NTI786269 ODE786269 ONA786269 OWW786269 PGS786269 PQO786269 QAK786269 QKG786269 QUC786269 RDY786269 RNU786269 RXQ786269 SHM786269 SRI786269 TBE786269 TLA786269 TUW786269 UES786269 UOO786269 UYK786269 VIG786269 VSC786269 WBY786269 WLU786269 WVQ786269 J851805 JE851805 TA851805 ACW851805 AMS851805 AWO851805 BGK851805 BQG851805 CAC851805 CJY851805 CTU851805 DDQ851805 DNM851805 DXI851805 EHE851805 ERA851805 FAW851805 FKS851805 FUO851805 GEK851805 GOG851805 GYC851805 HHY851805 HRU851805 IBQ851805 ILM851805 IVI851805 JFE851805 JPA851805 JYW851805 KIS851805 KSO851805 LCK851805 LMG851805 LWC851805 MFY851805 MPU851805 MZQ851805 NJM851805 NTI851805 ODE851805 ONA851805 OWW851805 PGS851805 PQO851805 QAK851805 QKG851805 QUC851805 RDY851805 RNU851805 RXQ851805 SHM851805 SRI851805 TBE851805 TLA851805 TUW851805 UES851805 UOO851805 UYK851805 VIG851805 VSC851805 WBY851805 WLU851805 WVQ851805 J917341 JE917341 TA917341 ACW917341 AMS917341 AWO917341 BGK917341 BQG917341 CAC917341 CJY917341 CTU917341 DDQ917341 DNM917341 DXI917341 EHE917341 ERA917341 FAW917341 FKS917341 FUO917341 GEK917341 GOG917341 GYC917341 HHY917341 HRU917341 IBQ917341 ILM917341 IVI917341 JFE917341 JPA917341 JYW917341 KIS917341 KSO917341 LCK917341 LMG917341 LWC917341 MFY917341 MPU917341 MZQ917341 NJM917341 NTI917341 ODE917341 ONA917341 OWW917341 PGS917341 PQO917341 QAK917341 QKG917341 QUC917341 RDY917341 RNU917341 RXQ917341 SHM917341 SRI917341 TBE917341 TLA917341 TUW917341 UES917341 UOO917341 UYK917341 VIG917341 VSC917341 WBY917341 WLU917341 WVQ917341 J982877 JE982877 TA982877 ACW982877 AMS982877 AWO982877 BGK982877 BQG982877 CAC982877 CJY982877 CTU982877 DDQ982877 DNM982877 DXI982877 EHE982877 ERA982877 FAW982877 FKS982877 FUO982877 GEK982877 GOG982877 GYC982877 HHY982877 HRU982877 IBQ982877 ILM982877 IVI982877 JFE982877 JPA982877 JYW982877 KIS982877 KSO982877 LCK982877 LMG982877 LWC982877 MFY982877 MPU982877 MZQ982877 NJM982877 NTI982877 ODE982877 ONA982877 OWW982877 PGS982877 PQO982877 QAK982877 QKG982877 QUC982877 RDY982877 RNU982877 RXQ982877 SHM982877 SRI982877 TBE982877 TLA982877 TUW982877 UES982877 UOO982877 UYK982877 VIG982877 VSC982877 WBY982877 WLU982877 WVQ982877 J48 JE48 TA48 ACW48 AMS48 AWO48 BGK48 BQG48 CAC48 CJY48 CTU48 DDQ48 DNM48 DXI48 EHE48 ERA48 FAW48 FKS48 FUO48 GEK48 GOG48 GYC48 HHY48 HRU48 IBQ48 ILM48 IVI48 JFE48 JPA48 JYW48 KIS48 KSO48 LCK48 LMG48 LWC48 MFY48 MPU48 MZQ48 NJM48 NTI48 ODE48 ONA48 OWW48 PGS48 PQO48 QAK48 QKG48 QUC48 RDY48 RNU48 RXQ48 SHM48 SRI48 TBE48 TLA48 TUW48 UES48 UOO48 UYK48 VIG48 VSC48 WBY48 WLU48 WVQ48 J65382 JE65382 TA65382 ACW65382 AMS65382 AWO65382 BGK65382 BQG65382 CAC65382 CJY65382 CTU65382 DDQ65382 DNM65382 DXI65382 EHE65382 ERA65382 FAW65382 FKS65382 FUO65382 GEK65382 GOG65382 GYC65382 HHY65382 HRU65382 IBQ65382 ILM65382 IVI65382 JFE65382 JPA65382 JYW65382 KIS65382 KSO65382 LCK65382 LMG65382 LWC65382 MFY65382 MPU65382 MZQ65382 NJM65382 NTI65382 ODE65382 ONA65382 OWW65382 PGS65382 PQO65382 QAK65382 QKG65382 QUC65382 RDY65382 RNU65382 RXQ65382 SHM65382 SRI65382 TBE65382 TLA65382 TUW65382 UES65382 UOO65382 UYK65382 VIG65382 VSC65382 WBY65382 WLU65382 WVQ65382 J130918 JE130918 TA130918 ACW130918 AMS130918 AWO130918 BGK130918 BQG130918 CAC130918 CJY130918 CTU130918 DDQ130918 DNM130918 DXI130918 EHE130918 ERA130918 FAW130918 FKS130918 FUO130918 GEK130918 GOG130918 GYC130918 HHY130918 HRU130918 IBQ130918 ILM130918 IVI130918 JFE130918 JPA130918 JYW130918 KIS130918 KSO130918 LCK130918 LMG130918 LWC130918 MFY130918 MPU130918 MZQ130918 NJM130918 NTI130918 ODE130918 ONA130918 OWW130918 PGS130918 PQO130918 QAK130918 QKG130918 QUC130918 RDY130918 RNU130918 RXQ130918 SHM130918 SRI130918 TBE130918 TLA130918 TUW130918 UES130918 UOO130918 UYK130918 VIG130918 VSC130918 WBY130918 WLU130918 WVQ130918 J196454 JE196454 TA196454 ACW196454 AMS196454 AWO196454 BGK196454 BQG196454 CAC196454 CJY196454 CTU196454 DDQ196454 DNM196454 DXI196454 EHE196454 ERA196454 FAW196454 FKS196454 FUO196454 GEK196454 GOG196454 GYC196454 HHY196454 HRU196454 IBQ196454 ILM196454 IVI196454 JFE196454 JPA196454 JYW196454 KIS196454 KSO196454 LCK196454 LMG196454 LWC196454 MFY196454 MPU196454 MZQ196454 NJM196454 NTI196454 ODE196454 ONA196454 OWW196454 PGS196454 PQO196454 QAK196454 QKG196454 QUC196454 RDY196454 RNU196454 RXQ196454 SHM196454 SRI196454 TBE196454 TLA196454 TUW196454 UES196454 UOO196454 UYK196454 VIG196454 VSC196454 WBY196454 WLU196454 WVQ196454 J261990 JE261990 TA261990 ACW261990 AMS261990 AWO261990 BGK261990 BQG261990 CAC261990 CJY261990 CTU261990 DDQ261990 DNM261990 DXI261990 EHE261990 ERA261990 FAW261990 FKS261990 FUO261990 GEK261990 GOG261990 GYC261990 HHY261990 HRU261990 IBQ261990 ILM261990 IVI261990 JFE261990 JPA261990 JYW261990 KIS261990 KSO261990 LCK261990 LMG261990 LWC261990 MFY261990 MPU261990 MZQ261990 NJM261990 NTI261990 ODE261990 ONA261990 OWW261990 PGS261990 PQO261990 QAK261990 QKG261990 QUC261990 RDY261990 RNU261990 RXQ261990 SHM261990 SRI261990 TBE261990 TLA261990 TUW261990 UES261990 UOO261990 UYK261990 VIG261990 VSC261990 WBY261990 WLU261990 WVQ261990 J327526 JE327526 TA327526 ACW327526 AMS327526 AWO327526 BGK327526 BQG327526 CAC327526 CJY327526 CTU327526 DDQ327526 DNM327526 DXI327526 EHE327526 ERA327526 FAW327526 FKS327526 FUO327526 GEK327526 GOG327526 GYC327526 HHY327526 HRU327526 IBQ327526 ILM327526 IVI327526 JFE327526 JPA327526 JYW327526 KIS327526 KSO327526 LCK327526 LMG327526 LWC327526 MFY327526 MPU327526 MZQ327526 NJM327526 NTI327526 ODE327526 ONA327526 OWW327526 PGS327526 PQO327526 QAK327526 QKG327526 QUC327526 RDY327526 RNU327526 RXQ327526 SHM327526 SRI327526 TBE327526 TLA327526 TUW327526 UES327526 UOO327526 UYK327526 VIG327526 VSC327526 WBY327526 WLU327526 WVQ327526 J393062 JE393062 TA393062 ACW393062 AMS393062 AWO393062 BGK393062 BQG393062 CAC393062 CJY393062 CTU393062 DDQ393062 DNM393062 DXI393062 EHE393062 ERA393062 FAW393062 FKS393062 FUO393062 GEK393062 GOG393062 GYC393062 HHY393062 HRU393062 IBQ393062 ILM393062 IVI393062 JFE393062 JPA393062 JYW393062 KIS393062 KSO393062 LCK393062 LMG393062 LWC393062 MFY393062 MPU393062 MZQ393062 NJM393062 NTI393062 ODE393062 ONA393062 OWW393062 PGS393062 PQO393062 QAK393062 QKG393062 QUC393062 RDY393062 RNU393062 RXQ393062 SHM393062 SRI393062 TBE393062 TLA393062 TUW393062 UES393062 UOO393062 UYK393062 VIG393062 VSC393062 WBY393062 WLU393062 WVQ393062 J458598 JE458598 TA458598 ACW458598 AMS458598 AWO458598 BGK458598 BQG458598 CAC458598 CJY458598 CTU458598 DDQ458598 DNM458598 DXI458598 EHE458598 ERA458598 FAW458598 FKS458598 FUO458598 GEK458598 GOG458598 GYC458598 HHY458598 HRU458598 IBQ458598 ILM458598 IVI458598 JFE458598 JPA458598 JYW458598 KIS458598 KSO458598 LCK458598 LMG458598 LWC458598 MFY458598 MPU458598 MZQ458598 NJM458598 NTI458598 ODE458598 ONA458598 OWW458598 PGS458598 PQO458598 QAK458598 QKG458598 QUC458598 RDY458598 RNU458598 RXQ458598 SHM458598 SRI458598 TBE458598 TLA458598 TUW458598 UES458598 UOO458598 UYK458598 VIG458598 VSC458598 WBY458598 WLU458598 WVQ458598 J524134 JE524134 TA524134 ACW524134 AMS524134 AWO524134 BGK524134 BQG524134 CAC524134 CJY524134 CTU524134 DDQ524134 DNM524134 DXI524134 EHE524134 ERA524134 FAW524134 FKS524134 FUO524134 GEK524134 GOG524134 GYC524134 HHY524134 HRU524134 IBQ524134 ILM524134 IVI524134 JFE524134 JPA524134 JYW524134 KIS524134 KSO524134 LCK524134 LMG524134 LWC524134 MFY524134 MPU524134 MZQ524134 NJM524134 NTI524134 ODE524134 ONA524134 OWW524134 PGS524134 PQO524134 QAK524134 QKG524134 QUC524134 RDY524134 RNU524134 RXQ524134 SHM524134 SRI524134 TBE524134 TLA524134 TUW524134 UES524134 UOO524134 UYK524134 VIG524134 VSC524134 WBY524134 WLU524134 WVQ524134 J589670 JE589670 TA589670 ACW589670 AMS589670 AWO589670 BGK589670 BQG589670 CAC589670 CJY589670 CTU589670 DDQ589670 DNM589670 DXI589670 EHE589670 ERA589670 FAW589670 FKS589670 FUO589670 GEK589670 GOG589670 GYC589670 HHY589670 HRU589670 IBQ589670 ILM589670 IVI589670 JFE589670 JPA589670 JYW589670 KIS589670 KSO589670 LCK589670 LMG589670 LWC589670 MFY589670 MPU589670 MZQ589670 NJM589670 NTI589670 ODE589670 ONA589670 OWW589670 PGS589670 PQO589670 QAK589670 QKG589670 QUC589670 RDY589670 RNU589670 RXQ589670 SHM589670 SRI589670 TBE589670 TLA589670 TUW589670 UES589670 UOO589670 UYK589670 VIG589670 VSC589670 WBY589670 WLU589670 WVQ589670 J655206 JE655206 TA655206 ACW655206 AMS655206 AWO655206 BGK655206 BQG655206 CAC655206 CJY655206 CTU655206 DDQ655206 DNM655206 DXI655206 EHE655206 ERA655206 FAW655206 FKS655206 FUO655206 GEK655206 GOG655206 GYC655206 HHY655206 HRU655206 IBQ655206 ILM655206 IVI655206 JFE655206 JPA655206 JYW655206 KIS655206 KSO655206 LCK655206 LMG655206 LWC655206 MFY655206 MPU655206 MZQ655206 NJM655206 NTI655206 ODE655206 ONA655206 OWW655206 PGS655206 PQO655206 QAK655206 QKG655206 QUC655206 RDY655206 RNU655206 RXQ655206 SHM655206 SRI655206 TBE655206 TLA655206 TUW655206 UES655206 UOO655206 UYK655206 VIG655206 VSC655206 WBY655206 WLU655206 WVQ655206 J720742 JE720742 TA720742 ACW720742 AMS720742 AWO720742 BGK720742 BQG720742 CAC720742 CJY720742 CTU720742 DDQ720742 DNM720742 DXI720742 EHE720742 ERA720742 FAW720742 FKS720742 FUO720742 GEK720742 GOG720742 GYC720742 HHY720742 HRU720742 IBQ720742 ILM720742 IVI720742 JFE720742 JPA720742 JYW720742 KIS720742 KSO720742 LCK720742 LMG720742 LWC720742 MFY720742 MPU720742 MZQ720742 NJM720742 NTI720742 ODE720742 ONA720742 OWW720742 PGS720742 PQO720742 QAK720742 QKG720742 QUC720742 RDY720742 RNU720742 RXQ720742 SHM720742 SRI720742 TBE720742 TLA720742 TUW720742 UES720742 UOO720742 UYK720742 VIG720742 VSC720742 WBY720742 WLU720742 WVQ720742 J786278 JE786278 TA786278 ACW786278 AMS786278 AWO786278 BGK786278 BQG786278 CAC786278 CJY786278 CTU786278 DDQ786278 DNM786278 DXI786278 EHE786278 ERA786278 FAW786278 FKS786278 FUO786278 GEK786278 GOG786278 GYC786278 HHY786278 HRU786278 IBQ786278 ILM786278 IVI786278 JFE786278 JPA786278 JYW786278 KIS786278 KSO786278 LCK786278 LMG786278 LWC786278 MFY786278 MPU786278 MZQ786278 NJM786278 NTI786278 ODE786278 ONA786278 OWW786278 PGS786278 PQO786278 QAK786278 QKG786278 QUC786278 RDY786278 RNU786278 RXQ786278 SHM786278 SRI786278 TBE786278 TLA786278 TUW786278 UES786278 UOO786278 UYK786278 VIG786278 VSC786278 WBY786278 WLU786278 WVQ786278 J851814 JE851814 TA851814 ACW851814 AMS851814 AWO851814 BGK851814 BQG851814 CAC851814 CJY851814 CTU851814 DDQ851814 DNM851814 DXI851814 EHE851814 ERA851814 FAW851814 FKS851814 FUO851814 GEK851814 GOG851814 GYC851814 HHY851814 HRU851814 IBQ851814 ILM851814 IVI851814 JFE851814 JPA851814 JYW851814 KIS851814 KSO851814 LCK851814 LMG851814 LWC851814 MFY851814 MPU851814 MZQ851814 NJM851814 NTI851814 ODE851814 ONA851814 OWW851814 PGS851814 PQO851814 QAK851814 QKG851814 QUC851814 RDY851814 RNU851814 RXQ851814 SHM851814 SRI851814 TBE851814 TLA851814 TUW851814 UES851814 UOO851814 UYK851814 VIG851814 VSC851814 WBY851814 WLU851814 WVQ851814 J917350 JE917350 TA917350 ACW917350 AMS917350 AWO917350 BGK917350 BQG917350 CAC917350 CJY917350 CTU917350 DDQ917350 DNM917350 DXI917350 EHE917350 ERA917350 FAW917350 FKS917350 FUO917350 GEK917350 GOG917350 GYC917350 HHY917350 HRU917350 IBQ917350 ILM917350 IVI917350 JFE917350 JPA917350 JYW917350 KIS917350 KSO917350 LCK917350 LMG917350 LWC917350 MFY917350 MPU917350 MZQ917350 NJM917350 NTI917350 ODE917350 ONA917350 OWW917350 PGS917350 PQO917350 QAK917350 QKG917350 QUC917350 RDY917350 RNU917350 RXQ917350 SHM917350 SRI917350 TBE917350 TLA917350 TUW917350 UES917350 UOO917350 UYK917350 VIG917350 VSC917350 WBY917350 WLU917350 WVQ917350 J982886 JE982886 TA982886 ACW982886 AMS982886 AWO982886 BGK982886 BQG982886 CAC982886 CJY982886 CTU982886 DDQ982886 DNM982886 DXI982886 EHE982886 ERA982886 FAW982886 FKS982886 FUO982886 GEK982886 GOG982886 GYC982886 HHY982886 HRU982886 IBQ982886 ILM982886 IVI982886 JFE982886 JPA982886 JYW982886 KIS982886 KSO982886 LCK982886 LMG982886 LWC982886 MFY982886 MPU982886 MZQ982886 NJM982886 NTI982886 ODE982886 ONA982886 OWW982886 PGS982886 PQO982886 QAK982886 QKG982886 QUC982886 RDY982886 RNU982886 RXQ982886 SHM982886 SRI982886 TBE982886 TLA982886 TUW982886 UES982886 UOO982886 UYK982886 VIG982886 VSC982886 WBY982886 WLU982886 WVQ982886" xr:uid="{EB67C354-31B2-463F-8C59-175596F6904D}">
      <formula1>0.25</formula1>
      <formula2>24</formula2>
    </dataValidation>
    <dataValidation type="decimal" allowBlank="1" showInputMessage="1" showErrorMessage="1" sqref="E6:E50 IZ6:IZ50 SV6:SV50 ACR6:ACR50 AMN6:AMN50 AWJ6:AWJ50 BGF6:BGF50 BQB6:BQB50 BZX6:BZX50 CJT6:CJT50 CTP6:CTP50 DDL6:DDL50 DNH6:DNH50 DXD6:DXD50 EGZ6:EGZ50 EQV6:EQV50 FAR6:FAR50 FKN6:FKN50 FUJ6:FUJ50 GEF6:GEF50 GOB6:GOB50 GXX6:GXX50 HHT6:HHT50 HRP6:HRP50 IBL6:IBL50 ILH6:ILH50 IVD6:IVD50 JEZ6:JEZ50 JOV6:JOV50 JYR6:JYR50 KIN6:KIN50 KSJ6:KSJ50 LCF6:LCF50 LMB6:LMB50 LVX6:LVX50 MFT6:MFT50 MPP6:MPP50 MZL6:MZL50 NJH6:NJH50 NTD6:NTD50 OCZ6:OCZ50 OMV6:OMV50 OWR6:OWR50 PGN6:PGN50 PQJ6:PQJ50 QAF6:QAF50 QKB6:QKB50 QTX6:QTX50 RDT6:RDT50 RNP6:RNP50 RXL6:RXL50 SHH6:SHH50 SRD6:SRD50 TAZ6:TAZ50 TKV6:TKV50 TUR6:TUR50 UEN6:UEN50 UOJ6:UOJ50 UYF6:UYF50 VIB6:VIB50 VRX6:VRX50 WBT6:WBT50 WLP6:WLP50 WVL6:WVL50 E65361:E65387 IZ65361:IZ65387 SV65361:SV65387 ACR65361:ACR65387 AMN65361:AMN65387 AWJ65361:AWJ65387 BGF65361:BGF65387 BQB65361:BQB65387 BZX65361:BZX65387 CJT65361:CJT65387 CTP65361:CTP65387 DDL65361:DDL65387 DNH65361:DNH65387 DXD65361:DXD65387 EGZ65361:EGZ65387 EQV65361:EQV65387 FAR65361:FAR65387 FKN65361:FKN65387 FUJ65361:FUJ65387 GEF65361:GEF65387 GOB65361:GOB65387 GXX65361:GXX65387 HHT65361:HHT65387 HRP65361:HRP65387 IBL65361:IBL65387 ILH65361:ILH65387 IVD65361:IVD65387 JEZ65361:JEZ65387 JOV65361:JOV65387 JYR65361:JYR65387 KIN65361:KIN65387 KSJ65361:KSJ65387 LCF65361:LCF65387 LMB65361:LMB65387 LVX65361:LVX65387 MFT65361:MFT65387 MPP65361:MPP65387 MZL65361:MZL65387 NJH65361:NJH65387 NTD65361:NTD65387 OCZ65361:OCZ65387 OMV65361:OMV65387 OWR65361:OWR65387 PGN65361:PGN65387 PQJ65361:PQJ65387 QAF65361:QAF65387 QKB65361:QKB65387 QTX65361:QTX65387 RDT65361:RDT65387 RNP65361:RNP65387 RXL65361:RXL65387 SHH65361:SHH65387 SRD65361:SRD65387 TAZ65361:TAZ65387 TKV65361:TKV65387 TUR65361:TUR65387 UEN65361:UEN65387 UOJ65361:UOJ65387 UYF65361:UYF65387 VIB65361:VIB65387 VRX65361:VRX65387 WBT65361:WBT65387 WLP65361:WLP65387 WVL65361:WVL65387 E130897:E130923 IZ130897:IZ130923 SV130897:SV130923 ACR130897:ACR130923 AMN130897:AMN130923 AWJ130897:AWJ130923 BGF130897:BGF130923 BQB130897:BQB130923 BZX130897:BZX130923 CJT130897:CJT130923 CTP130897:CTP130923 DDL130897:DDL130923 DNH130897:DNH130923 DXD130897:DXD130923 EGZ130897:EGZ130923 EQV130897:EQV130923 FAR130897:FAR130923 FKN130897:FKN130923 FUJ130897:FUJ130923 GEF130897:GEF130923 GOB130897:GOB130923 GXX130897:GXX130923 HHT130897:HHT130923 HRP130897:HRP130923 IBL130897:IBL130923 ILH130897:ILH130923 IVD130897:IVD130923 JEZ130897:JEZ130923 JOV130897:JOV130923 JYR130897:JYR130923 KIN130897:KIN130923 KSJ130897:KSJ130923 LCF130897:LCF130923 LMB130897:LMB130923 LVX130897:LVX130923 MFT130897:MFT130923 MPP130897:MPP130923 MZL130897:MZL130923 NJH130897:NJH130923 NTD130897:NTD130923 OCZ130897:OCZ130923 OMV130897:OMV130923 OWR130897:OWR130923 PGN130897:PGN130923 PQJ130897:PQJ130923 QAF130897:QAF130923 QKB130897:QKB130923 QTX130897:QTX130923 RDT130897:RDT130923 RNP130897:RNP130923 RXL130897:RXL130923 SHH130897:SHH130923 SRD130897:SRD130923 TAZ130897:TAZ130923 TKV130897:TKV130923 TUR130897:TUR130923 UEN130897:UEN130923 UOJ130897:UOJ130923 UYF130897:UYF130923 VIB130897:VIB130923 VRX130897:VRX130923 WBT130897:WBT130923 WLP130897:WLP130923 WVL130897:WVL130923 E196433:E196459 IZ196433:IZ196459 SV196433:SV196459 ACR196433:ACR196459 AMN196433:AMN196459 AWJ196433:AWJ196459 BGF196433:BGF196459 BQB196433:BQB196459 BZX196433:BZX196459 CJT196433:CJT196459 CTP196433:CTP196459 DDL196433:DDL196459 DNH196433:DNH196459 DXD196433:DXD196459 EGZ196433:EGZ196459 EQV196433:EQV196459 FAR196433:FAR196459 FKN196433:FKN196459 FUJ196433:FUJ196459 GEF196433:GEF196459 GOB196433:GOB196459 GXX196433:GXX196459 HHT196433:HHT196459 HRP196433:HRP196459 IBL196433:IBL196459 ILH196433:ILH196459 IVD196433:IVD196459 JEZ196433:JEZ196459 JOV196433:JOV196459 JYR196433:JYR196459 KIN196433:KIN196459 KSJ196433:KSJ196459 LCF196433:LCF196459 LMB196433:LMB196459 LVX196433:LVX196459 MFT196433:MFT196459 MPP196433:MPP196459 MZL196433:MZL196459 NJH196433:NJH196459 NTD196433:NTD196459 OCZ196433:OCZ196459 OMV196433:OMV196459 OWR196433:OWR196459 PGN196433:PGN196459 PQJ196433:PQJ196459 QAF196433:QAF196459 QKB196433:QKB196459 QTX196433:QTX196459 RDT196433:RDT196459 RNP196433:RNP196459 RXL196433:RXL196459 SHH196433:SHH196459 SRD196433:SRD196459 TAZ196433:TAZ196459 TKV196433:TKV196459 TUR196433:TUR196459 UEN196433:UEN196459 UOJ196433:UOJ196459 UYF196433:UYF196459 VIB196433:VIB196459 VRX196433:VRX196459 WBT196433:WBT196459 WLP196433:WLP196459 WVL196433:WVL196459 E261969:E261995 IZ261969:IZ261995 SV261969:SV261995 ACR261969:ACR261995 AMN261969:AMN261995 AWJ261969:AWJ261995 BGF261969:BGF261995 BQB261969:BQB261995 BZX261969:BZX261995 CJT261969:CJT261995 CTP261969:CTP261995 DDL261969:DDL261995 DNH261969:DNH261995 DXD261969:DXD261995 EGZ261969:EGZ261995 EQV261969:EQV261995 FAR261969:FAR261995 FKN261969:FKN261995 FUJ261969:FUJ261995 GEF261969:GEF261995 GOB261969:GOB261995 GXX261969:GXX261995 HHT261969:HHT261995 HRP261969:HRP261995 IBL261969:IBL261995 ILH261969:ILH261995 IVD261969:IVD261995 JEZ261969:JEZ261995 JOV261969:JOV261995 JYR261969:JYR261995 KIN261969:KIN261995 KSJ261969:KSJ261995 LCF261969:LCF261995 LMB261969:LMB261995 LVX261969:LVX261995 MFT261969:MFT261995 MPP261969:MPP261995 MZL261969:MZL261995 NJH261969:NJH261995 NTD261969:NTD261995 OCZ261969:OCZ261995 OMV261969:OMV261995 OWR261969:OWR261995 PGN261969:PGN261995 PQJ261969:PQJ261995 QAF261969:QAF261995 QKB261969:QKB261995 QTX261969:QTX261995 RDT261969:RDT261995 RNP261969:RNP261995 RXL261969:RXL261995 SHH261969:SHH261995 SRD261969:SRD261995 TAZ261969:TAZ261995 TKV261969:TKV261995 TUR261969:TUR261995 UEN261969:UEN261995 UOJ261969:UOJ261995 UYF261969:UYF261995 VIB261969:VIB261995 VRX261969:VRX261995 WBT261969:WBT261995 WLP261969:WLP261995 WVL261969:WVL261995 E327505:E327531 IZ327505:IZ327531 SV327505:SV327531 ACR327505:ACR327531 AMN327505:AMN327531 AWJ327505:AWJ327531 BGF327505:BGF327531 BQB327505:BQB327531 BZX327505:BZX327531 CJT327505:CJT327531 CTP327505:CTP327531 DDL327505:DDL327531 DNH327505:DNH327531 DXD327505:DXD327531 EGZ327505:EGZ327531 EQV327505:EQV327531 FAR327505:FAR327531 FKN327505:FKN327531 FUJ327505:FUJ327531 GEF327505:GEF327531 GOB327505:GOB327531 GXX327505:GXX327531 HHT327505:HHT327531 HRP327505:HRP327531 IBL327505:IBL327531 ILH327505:ILH327531 IVD327505:IVD327531 JEZ327505:JEZ327531 JOV327505:JOV327531 JYR327505:JYR327531 KIN327505:KIN327531 KSJ327505:KSJ327531 LCF327505:LCF327531 LMB327505:LMB327531 LVX327505:LVX327531 MFT327505:MFT327531 MPP327505:MPP327531 MZL327505:MZL327531 NJH327505:NJH327531 NTD327505:NTD327531 OCZ327505:OCZ327531 OMV327505:OMV327531 OWR327505:OWR327531 PGN327505:PGN327531 PQJ327505:PQJ327531 QAF327505:QAF327531 QKB327505:QKB327531 QTX327505:QTX327531 RDT327505:RDT327531 RNP327505:RNP327531 RXL327505:RXL327531 SHH327505:SHH327531 SRD327505:SRD327531 TAZ327505:TAZ327531 TKV327505:TKV327531 TUR327505:TUR327531 UEN327505:UEN327531 UOJ327505:UOJ327531 UYF327505:UYF327531 VIB327505:VIB327531 VRX327505:VRX327531 WBT327505:WBT327531 WLP327505:WLP327531 WVL327505:WVL327531 E393041:E393067 IZ393041:IZ393067 SV393041:SV393067 ACR393041:ACR393067 AMN393041:AMN393067 AWJ393041:AWJ393067 BGF393041:BGF393067 BQB393041:BQB393067 BZX393041:BZX393067 CJT393041:CJT393067 CTP393041:CTP393067 DDL393041:DDL393067 DNH393041:DNH393067 DXD393041:DXD393067 EGZ393041:EGZ393067 EQV393041:EQV393067 FAR393041:FAR393067 FKN393041:FKN393067 FUJ393041:FUJ393067 GEF393041:GEF393067 GOB393041:GOB393067 GXX393041:GXX393067 HHT393041:HHT393067 HRP393041:HRP393067 IBL393041:IBL393067 ILH393041:ILH393067 IVD393041:IVD393067 JEZ393041:JEZ393067 JOV393041:JOV393067 JYR393041:JYR393067 KIN393041:KIN393067 KSJ393041:KSJ393067 LCF393041:LCF393067 LMB393041:LMB393067 LVX393041:LVX393067 MFT393041:MFT393067 MPP393041:MPP393067 MZL393041:MZL393067 NJH393041:NJH393067 NTD393041:NTD393067 OCZ393041:OCZ393067 OMV393041:OMV393067 OWR393041:OWR393067 PGN393041:PGN393067 PQJ393041:PQJ393067 QAF393041:QAF393067 QKB393041:QKB393067 QTX393041:QTX393067 RDT393041:RDT393067 RNP393041:RNP393067 RXL393041:RXL393067 SHH393041:SHH393067 SRD393041:SRD393067 TAZ393041:TAZ393067 TKV393041:TKV393067 TUR393041:TUR393067 UEN393041:UEN393067 UOJ393041:UOJ393067 UYF393041:UYF393067 VIB393041:VIB393067 VRX393041:VRX393067 WBT393041:WBT393067 WLP393041:WLP393067 WVL393041:WVL393067 E458577:E458603 IZ458577:IZ458603 SV458577:SV458603 ACR458577:ACR458603 AMN458577:AMN458603 AWJ458577:AWJ458603 BGF458577:BGF458603 BQB458577:BQB458603 BZX458577:BZX458603 CJT458577:CJT458603 CTP458577:CTP458603 DDL458577:DDL458603 DNH458577:DNH458603 DXD458577:DXD458603 EGZ458577:EGZ458603 EQV458577:EQV458603 FAR458577:FAR458603 FKN458577:FKN458603 FUJ458577:FUJ458603 GEF458577:GEF458603 GOB458577:GOB458603 GXX458577:GXX458603 HHT458577:HHT458603 HRP458577:HRP458603 IBL458577:IBL458603 ILH458577:ILH458603 IVD458577:IVD458603 JEZ458577:JEZ458603 JOV458577:JOV458603 JYR458577:JYR458603 KIN458577:KIN458603 KSJ458577:KSJ458603 LCF458577:LCF458603 LMB458577:LMB458603 LVX458577:LVX458603 MFT458577:MFT458603 MPP458577:MPP458603 MZL458577:MZL458603 NJH458577:NJH458603 NTD458577:NTD458603 OCZ458577:OCZ458603 OMV458577:OMV458603 OWR458577:OWR458603 PGN458577:PGN458603 PQJ458577:PQJ458603 QAF458577:QAF458603 QKB458577:QKB458603 QTX458577:QTX458603 RDT458577:RDT458603 RNP458577:RNP458603 RXL458577:RXL458603 SHH458577:SHH458603 SRD458577:SRD458603 TAZ458577:TAZ458603 TKV458577:TKV458603 TUR458577:TUR458603 UEN458577:UEN458603 UOJ458577:UOJ458603 UYF458577:UYF458603 VIB458577:VIB458603 VRX458577:VRX458603 WBT458577:WBT458603 WLP458577:WLP458603 WVL458577:WVL458603 E524113:E524139 IZ524113:IZ524139 SV524113:SV524139 ACR524113:ACR524139 AMN524113:AMN524139 AWJ524113:AWJ524139 BGF524113:BGF524139 BQB524113:BQB524139 BZX524113:BZX524139 CJT524113:CJT524139 CTP524113:CTP524139 DDL524113:DDL524139 DNH524113:DNH524139 DXD524113:DXD524139 EGZ524113:EGZ524139 EQV524113:EQV524139 FAR524113:FAR524139 FKN524113:FKN524139 FUJ524113:FUJ524139 GEF524113:GEF524139 GOB524113:GOB524139 GXX524113:GXX524139 HHT524113:HHT524139 HRP524113:HRP524139 IBL524113:IBL524139 ILH524113:ILH524139 IVD524113:IVD524139 JEZ524113:JEZ524139 JOV524113:JOV524139 JYR524113:JYR524139 KIN524113:KIN524139 KSJ524113:KSJ524139 LCF524113:LCF524139 LMB524113:LMB524139 LVX524113:LVX524139 MFT524113:MFT524139 MPP524113:MPP524139 MZL524113:MZL524139 NJH524113:NJH524139 NTD524113:NTD524139 OCZ524113:OCZ524139 OMV524113:OMV524139 OWR524113:OWR524139 PGN524113:PGN524139 PQJ524113:PQJ524139 QAF524113:QAF524139 QKB524113:QKB524139 QTX524113:QTX524139 RDT524113:RDT524139 RNP524113:RNP524139 RXL524113:RXL524139 SHH524113:SHH524139 SRD524113:SRD524139 TAZ524113:TAZ524139 TKV524113:TKV524139 TUR524113:TUR524139 UEN524113:UEN524139 UOJ524113:UOJ524139 UYF524113:UYF524139 VIB524113:VIB524139 VRX524113:VRX524139 WBT524113:WBT524139 WLP524113:WLP524139 WVL524113:WVL524139 E589649:E589675 IZ589649:IZ589675 SV589649:SV589675 ACR589649:ACR589675 AMN589649:AMN589675 AWJ589649:AWJ589675 BGF589649:BGF589675 BQB589649:BQB589675 BZX589649:BZX589675 CJT589649:CJT589675 CTP589649:CTP589675 DDL589649:DDL589675 DNH589649:DNH589675 DXD589649:DXD589675 EGZ589649:EGZ589675 EQV589649:EQV589675 FAR589649:FAR589675 FKN589649:FKN589675 FUJ589649:FUJ589675 GEF589649:GEF589675 GOB589649:GOB589675 GXX589649:GXX589675 HHT589649:HHT589675 HRP589649:HRP589675 IBL589649:IBL589675 ILH589649:ILH589675 IVD589649:IVD589675 JEZ589649:JEZ589675 JOV589649:JOV589675 JYR589649:JYR589675 KIN589649:KIN589675 KSJ589649:KSJ589675 LCF589649:LCF589675 LMB589649:LMB589675 LVX589649:LVX589675 MFT589649:MFT589675 MPP589649:MPP589675 MZL589649:MZL589675 NJH589649:NJH589675 NTD589649:NTD589675 OCZ589649:OCZ589675 OMV589649:OMV589675 OWR589649:OWR589675 PGN589649:PGN589675 PQJ589649:PQJ589675 QAF589649:QAF589675 QKB589649:QKB589675 QTX589649:QTX589675 RDT589649:RDT589675 RNP589649:RNP589675 RXL589649:RXL589675 SHH589649:SHH589675 SRD589649:SRD589675 TAZ589649:TAZ589675 TKV589649:TKV589675 TUR589649:TUR589675 UEN589649:UEN589675 UOJ589649:UOJ589675 UYF589649:UYF589675 VIB589649:VIB589675 VRX589649:VRX589675 WBT589649:WBT589675 WLP589649:WLP589675 WVL589649:WVL589675 E655185:E655211 IZ655185:IZ655211 SV655185:SV655211 ACR655185:ACR655211 AMN655185:AMN655211 AWJ655185:AWJ655211 BGF655185:BGF655211 BQB655185:BQB655211 BZX655185:BZX655211 CJT655185:CJT655211 CTP655185:CTP655211 DDL655185:DDL655211 DNH655185:DNH655211 DXD655185:DXD655211 EGZ655185:EGZ655211 EQV655185:EQV655211 FAR655185:FAR655211 FKN655185:FKN655211 FUJ655185:FUJ655211 GEF655185:GEF655211 GOB655185:GOB655211 GXX655185:GXX655211 HHT655185:HHT655211 HRP655185:HRP655211 IBL655185:IBL655211 ILH655185:ILH655211 IVD655185:IVD655211 JEZ655185:JEZ655211 JOV655185:JOV655211 JYR655185:JYR655211 KIN655185:KIN655211 KSJ655185:KSJ655211 LCF655185:LCF655211 LMB655185:LMB655211 LVX655185:LVX655211 MFT655185:MFT655211 MPP655185:MPP655211 MZL655185:MZL655211 NJH655185:NJH655211 NTD655185:NTD655211 OCZ655185:OCZ655211 OMV655185:OMV655211 OWR655185:OWR655211 PGN655185:PGN655211 PQJ655185:PQJ655211 QAF655185:QAF655211 QKB655185:QKB655211 QTX655185:QTX655211 RDT655185:RDT655211 RNP655185:RNP655211 RXL655185:RXL655211 SHH655185:SHH655211 SRD655185:SRD655211 TAZ655185:TAZ655211 TKV655185:TKV655211 TUR655185:TUR655211 UEN655185:UEN655211 UOJ655185:UOJ655211 UYF655185:UYF655211 VIB655185:VIB655211 VRX655185:VRX655211 WBT655185:WBT655211 WLP655185:WLP655211 WVL655185:WVL655211 E720721:E720747 IZ720721:IZ720747 SV720721:SV720747 ACR720721:ACR720747 AMN720721:AMN720747 AWJ720721:AWJ720747 BGF720721:BGF720747 BQB720721:BQB720747 BZX720721:BZX720747 CJT720721:CJT720747 CTP720721:CTP720747 DDL720721:DDL720747 DNH720721:DNH720747 DXD720721:DXD720747 EGZ720721:EGZ720747 EQV720721:EQV720747 FAR720721:FAR720747 FKN720721:FKN720747 FUJ720721:FUJ720747 GEF720721:GEF720747 GOB720721:GOB720747 GXX720721:GXX720747 HHT720721:HHT720747 HRP720721:HRP720747 IBL720721:IBL720747 ILH720721:ILH720747 IVD720721:IVD720747 JEZ720721:JEZ720747 JOV720721:JOV720747 JYR720721:JYR720747 KIN720721:KIN720747 KSJ720721:KSJ720747 LCF720721:LCF720747 LMB720721:LMB720747 LVX720721:LVX720747 MFT720721:MFT720747 MPP720721:MPP720747 MZL720721:MZL720747 NJH720721:NJH720747 NTD720721:NTD720747 OCZ720721:OCZ720747 OMV720721:OMV720747 OWR720721:OWR720747 PGN720721:PGN720747 PQJ720721:PQJ720747 QAF720721:QAF720747 QKB720721:QKB720747 QTX720721:QTX720747 RDT720721:RDT720747 RNP720721:RNP720747 RXL720721:RXL720747 SHH720721:SHH720747 SRD720721:SRD720747 TAZ720721:TAZ720747 TKV720721:TKV720747 TUR720721:TUR720747 UEN720721:UEN720747 UOJ720721:UOJ720747 UYF720721:UYF720747 VIB720721:VIB720747 VRX720721:VRX720747 WBT720721:WBT720747 WLP720721:WLP720747 WVL720721:WVL720747 E786257:E786283 IZ786257:IZ786283 SV786257:SV786283 ACR786257:ACR786283 AMN786257:AMN786283 AWJ786257:AWJ786283 BGF786257:BGF786283 BQB786257:BQB786283 BZX786257:BZX786283 CJT786257:CJT786283 CTP786257:CTP786283 DDL786257:DDL786283 DNH786257:DNH786283 DXD786257:DXD786283 EGZ786257:EGZ786283 EQV786257:EQV786283 FAR786257:FAR786283 FKN786257:FKN786283 FUJ786257:FUJ786283 GEF786257:GEF786283 GOB786257:GOB786283 GXX786257:GXX786283 HHT786257:HHT786283 HRP786257:HRP786283 IBL786257:IBL786283 ILH786257:ILH786283 IVD786257:IVD786283 JEZ786257:JEZ786283 JOV786257:JOV786283 JYR786257:JYR786283 KIN786257:KIN786283 KSJ786257:KSJ786283 LCF786257:LCF786283 LMB786257:LMB786283 LVX786257:LVX786283 MFT786257:MFT786283 MPP786257:MPP786283 MZL786257:MZL786283 NJH786257:NJH786283 NTD786257:NTD786283 OCZ786257:OCZ786283 OMV786257:OMV786283 OWR786257:OWR786283 PGN786257:PGN786283 PQJ786257:PQJ786283 QAF786257:QAF786283 QKB786257:QKB786283 QTX786257:QTX786283 RDT786257:RDT786283 RNP786257:RNP786283 RXL786257:RXL786283 SHH786257:SHH786283 SRD786257:SRD786283 TAZ786257:TAZ786283 TKV786257:TKV786283 TUR786257:TUR786283 UEN786257:UEN786283 UOJ786257:UOJ786283 UYF786257:UYF786283 VIB786257:VIB786283 VRX786257:VRX786283 WBT786257:WBT786283 WLP786257:WLP786283 WVL786257:WVL786283 E851793:E851819 IZ851793:IZ851819 SV851793:SV851819 ACR851793:ACR851819 AMN851793:AMN851819 AWJ851793:AWJ851819 BGF851793:BGF851819 BQB851793:BQB851819 BZX851793:BZX851819 CJT851793:CJT851819 CTP851793:CTP851819 DDL851793:DDL851819 DNH851793:DNH851819 DXD851793:DXD851819 EGZ851793:EGZ851819 EQV851793:EQV851819 FAR851793:FAR851819 FKN851793:FKN851819 FUJ851793:FUJ851819 GEF851793:GEF851819 GOB851793:GOB851819 GXX851793:GXX851819 HHT851793:HHT851819 HRP851793:HRP851819 IBL851793:IBL851819 ILH851793:ILH851819 IVD851793:IVD851819 JEZ851793:JEZ851819 JOV851793:JOV851819 JYR851793:JYR851819 KIN851793:KIN851819 KSJ851793:KSJ851819 LCF851793:LCF851819 LMB851793:LMB851819 LVX851793:LVX851819 MFT851793:MFT851819 MPP851793:MPP851819 MZL851793:MZL851819 NJH851793:NJH851819 NTD851793:NTD851819 OCZ851793:OCZ851819 OMV851793:OMV851819 OWR851793:OWR851819 PGN851793:PGN851819 PQJ851793:PQJ851819 QAF851793:QAF851819 QKB851793:QKB851819 QTX851793:QTX851819 RDT851793:RDT851819 RNP851793:RNP851819 RXL851793:RXL851819 SHH851793:SHH851819 SRD851793:SRD851819 TAZ851793:TAZ851819 TKV851793:TKV851819 TUR851793:TUR851819 UEN851793:UEN851819 UOJ851793:UOJ851819 UYF851793:UYF851819 VIB851793:VIB851819 VRX851793:VRX851819 WBT851793:WBT851819 WLP851793:WLP851819 WVL851793:WVL851819 E917329:E917355 IZ917329:IZ917355 SV917329:SV917355 ACR917329:ACR917355 AMN917329:AMN917355 AWJ917329:AWJ917355 BGF917329:BGF917355 BQB917329:BQB917355 BZX917329:BZX917355 CJT917329:CJT917355 CTP917329:CTP917355 DDL917329:DDL917355 DNH917329:DNH917355 DXD917329:DXD917355 EGZ917329:EGZ917355 EQV917329:EQV917355 FAR917329:FAR917355 FKN917329:FKN917355 FUJ917329:FUJ917355 GEF917329:GEF917355 GOB917329:GOB917355 GXX917329:GXX917355 HHT917329:HHT917355 HRP917329:HRP917355 IBL917329:IBL917355 ILH917329:ILH917355 IVD917329:IVD917355 JEZ917329:JEZ917355 JOV917329:JOV917355 JYR917329:JYR917355 KIN917329:KIN917355 KSJ917329:KSJ917355 LCF917329:LCF917355 LMB917329:LMB917355 LVX917329:LVX917355 MFT917329:MFT917355 MPP917329:MPP917355 MZL917329:MZL917355 NJH917329:NJH917355 NTD917329:NTD917355 OCZ917329:OCZ917355 OMV917329:OMV917355 OWR917329:OWR917355 PGN917329:PGN917355 PQJ917329:PQJ917355 QAF917329:QAF917355 QKB917329:QKB917355 QTX917329:QTX917355 RDT917329:RDT917355 RNP917329:RNP917355 RXL917329:RXL917355 SHH917329:SHH917355 SRD917329:SRD917355 TAZ917329:TAZ917355 TKV917329:TKV917355 TUR917329:TUR917355 UEN917329:UEN917355 UOJ917329:UOJ917355 UYF917329:UYF917355 VIB917329:VIB917355 VRX917329:VRX917355 WBT917329:WBT917355 WLP917329:WLP917355 WVL917329:WVL917355 E982865:E982891 IZ982865:IZ982891 SV982865:SV982891 ACR982865:ACR982891 AMN982865:AMN982891 AWJ982865:AWJ982891 BGF982865:BGF982891 BQB982865:BQB982891 BZX982865:BZX982891 CJT982865:CJT982891 CTP982865:CTP982891 DDL982865:DDL982891 DNH982865:DNH982891 DXD982865:DXD982891 EGZ982865:EGZ982891 EQV982865:EQV982891 FAR982865:FAR982891 FKN982865:FKN982891 FUJ982865:FUJ982891 GEF982865:GEF982891 GOB982865:GOB982891 GXX982865:GXX982891 HHT982865:HHT982891 HRP982865:HRP982891 IBL982865:IBL982891 ILH982865:ILH982891 IVD982865:IVD982891 JEZ982865:JEZ982891 JOV982865:JOV982891 JYR982865:JYR982891 KIN982865:KIN982891 KSJ982865:KSJ982891 LCF982865:LCF982891 LMB982865:LMB982891 LVX982865:LVX982891 MFT982865:MFT982891 MPP982865:MPP982891 MZL982865:MZL982891 NJH982865:NJH982891 NTD982865:NTD982891 OCZ982865:OCZ982891 OMV982865:OMV982891 OWR982865:OWR982891 PGN982865:PGN982891 PQJ982865:PQJ982891 QAF982865:QAF982891 QKB982865:QKB982891 QTX982865:QTX982891 RDT982865:RDT982891 RNP982865:RNP982891 RXL982865:RXL982891 SHH982865:SHH982891 SRD982865:SRD982891 TAZ982865:TAZ982891 TKV982865:TKV982891 TUR982865:TUR982891 UEN982865:UEN982891 UOJ982865:UOJ982891 UYF982865:UYF982891 VIB982865:VIB982891 VRX982865:VRX982891 WBT982865:WBT982891 WLP982865:WLP982891 WVL982865:WVL982891" xr:uid="{ECDEE170-C734-45A7-B05D-A0C46510AF44}">
      <formula1>0.25</formula1>
      <formula2>23.75</formula2>
    </dataValidation>
    <dataValidation type="date" allowBlank="1" showInputMessage="1" showErrorMessage="1" sqref="A65390 IV65390 SR65390 ACN65390 AMJ65390 AWF65390 BGB65390 BPX65390 BZT65390 CJP65390 CTL65390 DDH65390 DND65390 DWZ65390 EGV65390 EQR65390 FAN65390 FKJ65390 FUF65390 GEB65390 GNX65390 GXT65390 HHP65390 HRL65390 IBH65390 ILD65390 IUZ65390 JEV65390 JOR65390 JYN65390 KIJ65390 KSF65390 LCB65390 LLX65390 LVT65390 MFP65390 MPL65390 MZH65390 NJD65390 NSZ65390 OCV65390 OMR65390 OWN65390 PGJ65390 PQF65390 QAB65390 QJX65390 QTT65390 RDP65390 RNL65390 RXH65390 SHD65390 SQZ65390 TAV65390 TKR65390 TUN65390 UEJ65390 UOF65390 UYB65390 VHX65390 VRT65390 WBP65390 WLL65390 WVH65390 A130926 IV130926 SR130926 ACN130926 AMJ130926 AWF130926 BGB130926 BPX130926 BZT130926 CJP130926 CTL130926 DDH130926 DND130926 DWZ130926 EGV130926 EQR130926 FAN130926 FKJ130926 FUF130926 GEB130926 GNX130926 GXT130926 HHP130926 HRL130926 IBH130926 ILD130926 IUZ130926 JEV130926 JOR130926 JYN130926 KIJ130926 KSF130926 LCB130926 LLX130926 LVT130926 MFP130926 MPL130926 MZH130926 NJD130926 NSZ130926 OCV130926 OMR130926 OWN130926 PGJ130926 PQF130926 QAB130926 QJX130926 QTT130926 RDP130926 RNL130926 RXH130926 SHD130926 SQZ130926 TAV130926 TKR130926 TUN130926 UEJ130926 UOF130926 UYB130926 VHX130926 VRT130926 WBP130926 WLL130926 WVH130926 A196462 IV196462 SR196462 ACN196462 AMJ196462 AWF196462 BGB196462 BPX196462 BZT196462 CJP196462 CTL196462 DDH196462 DND196462 DWZ196462 EGV196462 EQR196462 FAN196462 FKJ196462 FUF196462 GEB196462 GNX196462 GXT196462 HHP196462 HRL196462 IBH196462 ILD196462 IUZ196462 JEV196462 JOR196462 JYN196462 KIJ196462 KSF196462 LCB196462 LLX196462 LVT196462 MFP196462 MPL196462 MZH196462 NJD196462 NSZ196462 OCV196462 OMR196462 OWN196462 PGJ196462 PQF196462 QAB196462 QJX196462 QTT196462 RDP196462 RNL196462 RXH196462 SHD196462 SQZ196462 TAV196462 TKR196462 TUN196462 UEJ196462 UOF196462 UYB196462 VHX196462 VRT196462 WBP196462 WLL196462 WVH196462 A261998 IV261998 SR261998 ACN261998 AMJ261998 AWF261998 BGB261998 BPX261998 BZT261998 CJP261998 CTL261998 DDH261998 DND261998 DWZ261998 EGV261998 EQR261998 FAN261998 FKJ261998 FUF261998 GEB261998 GNX261998 GXT261998 HHP261998 HRL261998 IBH261998 ILD261998 IUZ261998 JEV261998 JOR261998 JYN261998 KIJ261998 KSF261998 LCB261998 LLX261998 LVT261998 MFP261998 MPL261998 MZH261998 NJD261998 NSZ261998 OCV261998 OMR261998 OWN261998 PGJ261998 PQF261998 QAB261998 QJX261998 QTT261998 RDP261998 RNL261998 RXH261998 SHD261998 SQZ261998 TAV261998 TKR261998 TUN261998 UEJ261998 UOF261998 UYB261998 VHX261998 VRT261998 WBP261998 WLL261998 WVH261998 A327534 IV327534 SR327534 ACN327534 AMJ327534 AWF327534 BGB327534 BPX327534 BZT327534 CJP327534 CTL327534 DDH327534 DND327534 DWZ327534 EGV327534 EQR327534 FAN327534 FKJ327534 FUF327534 GEB327534 GNX327534 GXT327534 HHP327534 HRL327534 IBH327534 ILD327534 IUZ327534 JEV327534 JOR327534 JYN327534 KIJ327534 KSF327534 LCB327534 LLX327534 LVT327534 MFP327534 MPL327534 MZH327534 NJD327534 NSZ327534 OCV327534 OMR327534 OWN327534 PGJ327534 PQF327534 QAB327534 QJX327534 QTT327534 RDP327534 RNL327534 RXH327534 SHD327534 SQZ327534 TAV327534 TKR327534 TUN327534 UEJ327534 UOF327534 UYB327534 VHX327534 VRT327534 WBP327534 WLL327534 WVH327534 A393070 IV393070 SR393070 ACN393070 AMJ393070 AWF393070 BGB393070 BPX393070 BZT393070 CJP393070 CTL393070 DDH393070 DND393070 DWZ393070 EGV393070 EQR393070 FAN393070 FKJ393070 FUF393070 GEB393070 GNX393070 GXT393070 HHP393070 HRL393070 IBH393070 ILD393070 IUZ393070 JEV393070 JOR393070 JYN393070 KIJ393070 KSF393070 LCB393070 LLX393070 LVT393070 MFP393070 MPL393070 MZH393070 NJD393070 NSZ393070 OCV393070 OMR393070 OWN393070 PGJ393070 PQF393070 QAB393070 QJX393070 QTT393070 RDP393070 RNL393070 RXH393070 SHD393070 SQZ393070 TAV393070 TKR393070 TUN393070 UEJ393070 UOF393070 UYB393070 VHX393070 VRT393070 WBP393070 WLL393070 WVH393070 A458606 IV458606 SR458606 ACN458606 AMJ458606 AWF458606 BGB458606 BPX458606 BZT458606 CJP458606 CTL458606 DDH458606 DND458606 DWZ458606 EGV458606 EQR458606 FAN458606 FKJ458606 FUF458606 GEB458606 GNX458606 GXT458606 HHP458606 HRL458606 IBH458606 ILD458606 IUZ458606 JEV458606 JOR458606 JYN458606 KIJ458606 KSF458606 LCB458606 LLX458606 LVT458606 MFP458606 MPL458606 MZH458606 NJD458606 NSZ458606 OCV458606 OMR458606 OWN458606 PGJ458606 PQF458606 QAB458606 QJX458606 QTT458606 RDP458606 RNL458606 RXH458606 SHD458606 SQZ458606 TAV458606 TKR458606 TUN458606 UEJ458606 UOF458606 UYB458606 VHX458606 VRT458606 WBP458606 WLL458606 WVH458606 A524142 IV524142 SR524142 ACN524142 AMJ524142 AWF524142 BGB524142 BPX524142 BZT524142 CJP524142 CTL524142 DDH524142 DND524142 DWZ524142 EGV524142 EQR524142 FAN524142 FKJ524142 FUF524142 GEB524142 GNX524142 GXT524142 HHP524142 HRL524142 IBH524142 ILD524142 IUZ524142 JEV524142 JOR524142 JYN524142 KIJ524142 KSF524142 LCB524142 LLX524142 LVT524142 MFP524142 MPL524142 MZH524142 NJD524142 NSZ524142 OCV524142 OMR524142 OWN524142 PGJ524142 PQF524142 QAB524142 QJX524142 QTT524142 RDP524142 RNL524142 RXH524142 SHD524142 SQZ524142 TAV524142 TKR524142 TUN524142 UEJ524142 UOF524142 UYB524142 VHX524142 VRT524142 WBP524142 WLL524142 WVH524142 A589678 IV589678 SR589678 ACN589678 AMJ589678 AWF589678 BGB589678 BPX589678 BZT589678 CJP589678 CTL589678 DDH589678 DND589678 DWZ589678 EGV589678 EQR589678 FAN589678 FKJ589678 FUF589678 GEB589678 GNX589678 GXT589678 HHP589678 HRL589678 IBH589678 ILD589678 IUZ589678 JEV589678 JOR589678 JYN589678 KIJ589678 KSF589678 LCB589678 LLX589678 LVT589678 MFP589678 MPL589678 MZH589678 NJD589678 NSZ589678 OCV589678 OMR589678 OWN589678 PGJ589678 PQF589678 QAB589678 QJX589678 QTT589678 RDP589678 RNL589678 RXH589678 SHD589678 SQZ589678 TAV589678 TKR589678 TUN589678 UEJ589678 UOF589678 UYB589678 VHX589678 VRT589678 WBP589678 WLL589678 WVH589678 A655214 IV655214 SR655214 ACN655214 AMJ655214 AWF655214 BGB655214 BPX655214 BZT655214 CJP655214 CTL655214 DDH655214 DND655214 DWZ655214 EGV655214 EQR655214 FAN655214 FKJ655214 FUF655214 GEB655214 GNX655214 GXT655214 HHP655214 HRL655214 IBH655214 ILD655214 IUZ655214 JEV655214 JOR655214 JYN655214 KIJ655214 KSF655214 LCB655214 LLX655214 LVT655214 MFP655214 MPL655214 MZH655214 NJD655214 NSZ655214 OCV655214 OMR655214 OWN655214 PGJ655214 PQF655214 QAB655214 QJX655214 QTT655214 RDP655214 RNL655214 RXH655214 SHD655214 SQZ655214 TAV655214 TKR655214 TUN655214 UEJ655214 UOF655214 UYB655214 VHX655214 VRT655214 WBP655214 WLL655214 WVH655214 A720750 IV720750 SR720750 ACN720750 AMJ720750 AWF720750 BGB720750 BPX720750 BZT720750 CJP720750 CTL720750 DDH720750 DND720750 DWZ720750 EGV720750 EQR720750 FAN720750 FKJ720750 FUF720750 GEB720750 GNX720750 GXT720750 HHP720750 HRL720750 IBH720750 ILD720750 IUZ720750 JEV720750 JOR720750 JYN720750 KIJ720750 KSF720750 LCB720750 LLX720750 LVT720750 MFP720750 MPL720750 MZH720750 NJD720750 NSZ720750 OCV720750 OMR720750 OWN720750 PGJ720750 PQF720750 QAB720750 QJX720750 QTT720750 RDP720750 RNL720750 RXH720750 SHD720750 SQZ720750 TAV720750 TKR720750 TUN720750 UEJ720750 UOF720750 UYB720750 VHX720750 VRT720750 WBP720750 WLL720750 WVH720750 A786286 IV786286 SR786286 ACN786286 AMJ786286 AWF786286 BGB786286 BPX786286 BZT786286 CJP786286 CTL786286 DDH786286 DND786286 DWZ786286 EGV786286 EQR786286 FAN786286 FKJ786286 FUF786286 GEB786286 GNX786286 GXT786286 HHP786286 HRL786286 IBH786286 ILD786286 IUZ786286 JEV786286 JOR786286 JYN786286 KIJ786286 KSF786286 LCB786286 LLX786286 LVT786286 MFP786286 MPL786286 MZH786286 NJD786286 NSZ786286 OCV786286 OMR786286 OWN786286 PGJ786286 PQF786286 QAB786286 QJX786286 QTT786286 RDP786286 RNL786286 RXH786286 SHD786286 SQZ786286 TAV786286 TKR786286 TUN786286 UEJ786286 UOF786286 UYB786286 VHX786286 VRT786286 WBP786286 WLL786286 WVH786286 A851822 IV851822 SR851822 ACN851822 AMJ851822 AWF851822 BGB851822 BPX851822 BZT851822 CJP851822 CTL851822 DDH851822 DND851822 DWZ851822 EGV851822 EQR851822 FAN851822 FKJ851822 FUF851822 GEB851822 GNX851822 GXT851822 HHP851822 HRL851822 IBH851822 ILD851822 IUZ851822 JEV851822 JOR851822 JYN851822 KIJ851822 KSF851822 LCB851822 LLX851822 LVT851822 MFP851822 MPL851822 MZH851822 NJD851822 NSZ851822 OCV851822 OMR851822 OWN851822 PGJ851822 PQF851822 QAB851822 QJX851822 QTT851822 RDP851822 RNL851822 RXH851822 SHD851822 SQZ851822 TAV851822 TKR851822 TUN851822 UEJ851822 UOF851822 UYB851822 VHX851822 VRT851822 WBP851822 WLL851822 WVH851822 A917358 IV917358 SR917358 ACN917358 AMJ917358 AWF917358 BGB917358 BPX917358 BZT917358 CJP917358 CTL917358 DDH917358 DND917358 DWZ917358 EGV917358 EQR917358 FAN917358 FKJ917358 FUF917358 GEB917358 GNX917358 GXT917358 HHP917358 HRL917358 IBH917358 ILD917358 IUZ917358 JEV917358 JOR917358 JYN917358 KIJ917358 KSF917358 LCB917358 LLX917358 LVT917358 MFP917358 MPL917358 MZH917358 NJD917358 NSZ917358 OCV917358 OMR917358 OWN917358 PGJ917358 PQF917358 QAB917358 QJX917358 QTT917358 RDP917358 RNL917358 RXH917358 SHD917358 SQZ917358 TAV917358 TKR917358 TUN917358 UEJ917358 UOF917358 UYB917358 VHX917358 VRT917358 WBP917358 WLL917358 WVH917358 A982894 IV982894 SR982894 ACN982894 AMJ982894 AWF982894 BGB982894 BPX982894 BZT982894 CJP982894 CTL982894 DDH982894 DND982894 DWZ982894 EGV982894 EQR982894 FAN982894 FKJ982894 FUF982894 GEB982894 GNX982894 GXT982894 HHP982894 HRL982894 IBH982894 ILD982894 IUZ982894 JEV982894 JOR982894 JYN982894 KIJ982894 KSF982894 LCB982894 LLX982894 LVT982894 MFP982894 MPL982894 MZH982894 NJD982894 NSZ982894 OCV982894 OMR982894 OWN982894 PGJ982894 PQF982894 QAB982894 QJX982894 QTT982894 RDP982894 RNL982894 RXH982894 SHD982894 SQZ982894 TAV982894 TKR982894 TUN982894 UEJ982894 UOF982894 UYB982894 VHX982894 VRT982894 WBP982894 WLL982894 WVH982894 IW1 SS1 ACO1 AMK1 AWG1 BGC1 BPY1 BZU1 CJQ1 CTM1 DDI1 DNE1 DXA1 EGW1 EQS1 FAO1 FKK1 FUG1 GEC1 GNY1 GXU1 HHQ1 HRM1 IBI1 ILE1 IVA1 JEW1 JOS1 JYO1 KIK1 KSG1 LCC1 LLY1 LVU1 MFQ1 MPM1 MZI1 NJE1 NTA1 OCW1 OMS1 OWO1 PGK1 PQG1 QAC1 QJY1 QTU1 RDQ1 RNM1 RXI1 SHE1 SRA1 TAW1 TKS1 TUO1 UEK1 UOG1 UYC1 VHY1 VRU1 WBQ1 WLM1 WVI1 WVI982865:WVI1048576 B65361:B130893 IW65361:IW130893 SS65361:SS130893 ACO65361:ACO130893 AMK65361:AMK130893 AWG65361:AWG130893 BGC65361:BGC130893 BPY65361:BPY130893 BZU65361:BZU130893 CJQ65361:CJQ130893 CTM65361:CTM130893 DDI65361:DDI130893 DNE65361:DNE130893 DXA65361:DXA130893 EGW65361:EGW130893 EQS65361:EQS130893 FAO65361:FAO130893 FKK65361:FKK130893 FUG65361:FUG130893 GEC65361:GEC130893 GNY65361:GNY130893 GXU65361:GXU130893 HHQ65361:HHQ130893 HRM65361:HRM130893 IBI65361:IBI130893 ILE65361:ILE130893 IVA65361:IVA130893 JEW65361:JEW130893 JOS65361:JOS130893 JYO65361:JYO130893 KIK65361:KIK130893 KSG65361:KSG130893 LCC65361:LCC130893 LLY65361:LLY130893 LVU65361:LVU130893 MFQ65361:MFQ130893 MPM65361:MPM130893 MZI65361:MZI130893 NJE65361:NJE130893 NTA65361:NTA130893 OCW65361:OCW130893 OMS65361:OMS130893 OWO65361:OWO130893 PGK65361:PGK130893 PQG65361:PQG130893 QAC65361:QAC130893 QJY65361:QJY130893 QTU65361:QTU130893 RDQ65361:RDQ130893 RNM65361:RNM130893 RXI65361:RXI130893 SHE65361:SHE130893 SRA65361:SRA130893 TAW65361:TAW130893 TKS65361:TKS130893 TUO65361:TUO130893 UEK65361:UEK130893 UOG65361:UOG130893 UYC65361:UYC130893 VHY65361:VHY130893 VRU65361:VRU130893 WBQ65361:WBQ130893 WLM65361:WLM130893 WVI65361:WVI130893 B130897:B196429 IW130897:IW196429 SS130897:SS196429 ACO130897:ACO196429 AMK130897:AMK196429 AWG130897:AWG196429 BGC130897:BGC196429 BPY130897:BPY196429 BZU130897:BZU196429 CJQ130897:CJQ196429 CTM130897:CTM196429 DDI130897:DDI196429 DNE130897:DNE196429 DXA130897:DXA196429 EGW130897:EGW196429 EQS130897:EQS196429 FAO130897:FAO196429 FKK130897:FKK196429 FUG130897:FUG196429 GEC130897:GEC196429 GNY130897:GNY196429 GXU130897:GXU196429 HHQ130897:HHQ196429 HRM130897:HRM196429 IBI130897:IBI196429 ILE130897:ILE196429 IVA130897:IVA196429 JEW130897:JEW196429 JOS130897:JOS196429 JYO130897:JYO196429 KIK130897:KIK196429 KSG130897:KSG196429 LCC130897:LCC196429 LLY130897:LLY196429 LVU130897:LVU196429 MFQ130897:MFQ196429 MPM130897:MPM196429 MZI130897:MZI196429 NJE130897:NJE196429 NTA130897:NTA196429 OCW130897:OCW196429 OMS130897:OMS196429 OWO130897:OWO196429 PGK130897:PGK196429 PQG130897:PQG196429 QAC130897:QAC196429 QJY130897:QJY196429 QTU130897:QTU196429 RDQ130897:RDQ196429 RNM130897:RNM196429 RXI130897:RXI196429 SHE130897:SHE196429 SRA130897:SRA196429 TAW130897:TAW196429 TKS130897:TKS196429 TUO130897:TUO196429 UEK130897:UEK196429 UOG130897:UOG196429 UYC130897:UYC196429 VHY130897:VHY196429 VRU130897:VRU196429 WBQ130897:WBQ196429 WLM130897:WLM196429 WVI130897:WVI196429 B196433:B261965 IW196433:IW261965 SS196433:SS261965 ACO196433:ACO261965 AMK196433:AMK261965 AWG196433:AWG261965 BGC196433:BGC261965 BPY196433:BPY261965 BZU196433:BZU261965 CJQ196433:CJQ261965 CTM196433:CTM261965 DDI196433:DDI261965 DNE196433:DNE261965 DXA196433:DXA261965 EGW196433:EGW261965 EQS196433:EQS261965 FAO196433:FAO261965 FKK196433:FKK261965 FUG196433:FUG261965 GEC196433:GEC261965 GNY196433:GNY261965 GXU196433:GXU261965 HHQ196433:HHQ261965 HRM196433:HRM261965 IBI196433:IBI261965 ILE196433:ILE261965 IVA196433:IVA261965 JEW196433:JEW261965 JOS196433:JOS261965 JYO196433:JYO261965 KIK196433:KIK261965 KSG196433:KSG261965 LCC196433:LCC261965 LLY196433:LLY261965 LVU196433:LVU261965 MFQ196433:MFQ261965 MPM196433:MPM261965 MZI196433:MZI261965 NJE196433:NJE261965 NTA196433:NTA261965 OCW196433:OCW261965 OMS196433:OMS261965 OWO196433:OWO261965 PGK196433:PGK261965 PQG196433:PQG261965 QAC196433:QAC261965 QJY196433:QJY261965 QTU196433:QTU261965 RDQ196433:RDQ261965 RNM196433:RNM261965 RXI196433:RXI261965 SHE196433:SHE261965 SRA196433:SRA261965 TAW196433:TAW261965 TKS196433:TKS261965 TUO196433:TUO261965 UEK196433:UEK261965 UOG196433:UOG261965 UYC196433:UYC261965 VHY196433:VHY261965 VRU196433:VRU261965 WBQ196433:WBQ261965 WLM196433:WLM261965 WVI196433:WVI261965 B261969:B327501 IW261969:IW327501 SS261969:SS327501 ACO261969:ACO327501 AMK261969:AMK327501 AWG261969:AWG327501 BGC261969:BGC327501 BPY261969:BPY327501 BZU261969:BZU327501 CJQ261969:CJQ327501 CTM261969:CTM327501 DDI261969:DDI327501 DNE261969:DNE327501 DXA261969:DXA327501 EGW261969:EGW327501 EQS261969:EQS327501 FAO261969:FAO327501 FKK261969:FKK327501 FUG261969:FUG327501 GEC261969:GEC327501 GNY261969:GNY327501 GXU261969:GXU327501 HHQ261969:HHQ327501 HRM261969:HRM327501 IBI261969:IBI327501 ILE261969:ILE327501 IVA261969:IVA327501 JEW261969:JEW327501 JOS261969:JOS327501 JYO261969:JYO327501 KIK261969:KIK327501 KSG261969:KSG327501 LCC261969:LCC327501 LLY261969:LLY327501 LVU261969:LVU327501 MFQ261969:MFQ327501 MPM261969:MPM327501 MZI261969:MZI327501 NJE261969:NJE327501 NTA261969:NTA327501 OCW261969:OCW327501 OMS261969:OMS327501 OWO261969:OWO327501 PGK261969:PGK327501 PQG261969:PQG327501 QAC261969:QAC327501 QJY261969:QJY327501 QTU261969:QTU327501 RDQ261969:RDQ327501 RNM261969:RNM327501 RXI261969:RXI327501 SHE261969:SHE327501 SRA261969:SRA327501 TAW261969:TAW327501 TKS261969:TKS327501 TUO261969:TUO327501 UEK261969:UEK327501 UOG261969:UOG327501 UYC261969:UYC327501 VHY261969:VHY327501 VRU261969:VRU327501 WBQ261969:WBQ327501 WLM261969:WLM327501 WVI261969:WVI327501 B327505:B393037 IW327505:IW393037 SS327505:SS393037 ACO327505:ACO393037 AMK327505:AMK393037 AWG327505:AWG393037 BGC327505:BGC393037 BPY327505:BPY393037 BZU327505:BZU393037 CJQ327505:CJQ393037 CTM327505:CTM393037 DDI327505:DDI393037 DNE327505:DNE393037 DXA327505:DXA393037 EGW327505:EGW393037 EQS327505:EQS393037 FAO327505:FAO393037 FKK327505:FKK393037 FUG327505:FUG393037 GEC327505:GEC393037 GNY327505:GNY393037 GXU327505:GXU393037 HHQ327505:HHQ393037 HRM327505:HRM393037 IBI327505:IBI393037 ILE327505:ILE393037 IVA327505:IVA393037 JEW327505:JEW393037 JOS327505:JOS393037 JYO327505:JYO393037 KIK327505:KIK393037 KSG327505:KSG393037 LCC327505:LCC393037 LLY327505:LLY393037 LVU327505:LVU393037 MFQ327505:MFQ393037 MPM327505:MPM393037 MZI327505:MZI393037 NJE327505:NJE393037 NTA327505:NTA393037 OCW327505:OCW393037 OMS327505:OMS393037 OWO327505:OWO393037 PGK327505:PGK393037 PQG327505:PQG393037 QAC327505:QAC393037 QJY327505:QJY393037 QTU327505:QTU393037 RDQ327505:RDQ393037 RNM327505:RNM393037 RXI327505:RXI393037 SHE327505:SHE393037 SRA327505:SRA393037 TAW327505:TAW393037 TKS327505:TKS393037 TUO327505:TUO393037 UEK327505:UEK393037 UOG327505:UOG393037 UYC327505:UYC393037 VHY327505:VHY393037 VRU327505:VRU393037 WBQ327505:WBQ393037 WLM327505:WLM393037 WVI327505:WVI393037 B393041:B458573 IW393041:IW458573 SS393041:SS458573 ACO393041:ACO458573 AMK393041:AMK458573 AWG393041:AWG458573 BGC393041:BGC458573 BPY393041:BPY458573 BZU393041:BZU458573 CJQ393041:CJQ458573 CTM393041:CTM458573 DDI393041:DDI458573 DNE393041:DNE458573 DXA393041:DXA458573 EGW393041:EGW458573 EQS393041:EQS458573 FAO393041:FAO458573 FKK393041:FKK458573 FUG393041:FUG458573 GEC393041:GEC458573 GNY393041:GNY458573 GXU393041:GXU458573 HHQ393041:HHQ458573 HRM393041:HRM458573 IBI393041:IBI458573 ILE393041:ILE458573 IVA393041:IVA458573 JEW393041:JEW458573 JOS393041:JOS458573 JYO393041:JYO458573 KIK393041:KIK458573 KSG393041:KSG458573 LCC393041:LCC458573 LLY393041:LLY458573 LVU393041:LVU458573 MFQ393041:MFQ458573 MPM393041:MPM458573 MZI393041:MZI458573 NJE393041:NJE458573 NTA393041:NTA458573 OCW393041:OCW458573 OMS393041:OMS458573 OWO393041:OWO458573 PGK393041:PGK458573 PQG393041:PQG458573 QAC393041:QAC458573 QJY393041:QJY458573 QTU393041:QTU458573 RDQ393041:RDQ458573 RNM393041:RNM458573 RXI393041:RXI458573 SHE393041:SHE458573 SRA393041:SRA458573 TAW393041:TAW458573 TKS393041:TKS458573 TUO393041:TUO458573 UEK393041:UEK458573 UOG393041:UOG458573 UYC393041:UYC458573 VHY393041:VHY458573 VRU393041:VRU458573 WBQ393041:WBQ458573 WLM393041:WLM458573 WVI393041:WVI458573 B458577:B524109 IW458577:IW524109 SS458577:SS524109 ACO458577:ACO524109 AMK458577:AMK524109 AWG458577:AWG524109 BGC458577:BGC524109 BPY458577:BPY524109 BZU458577:BZU524109 CJQ458577:CJQ524109 CTM458577:CTM524109 DDI458577:DDI524109 DNE458577:DNE524109 DXA458577:DXA524109 EGW458577:EGW524109 EQS458577:EQS524109 FAO458577:FAO524109 FKK458577:FKK524109 FUG458577:FUG524109 GEC458577:GEC524109 GNY458577:GNY524109 GXU458577:GXU524109 HHQ458577:HHQ524109 HRM458577:HRM524109 IBI458577:IBI524109 ILE458577:ILE524109 IVA458577:IVA524109 JEW458577:JEW524109 JOS458577:JOS524109 JYO458577:JYO524109 KIK458577:KIK524109 KSG458577:KSG524109 LCC458577:LCC524109 LLY458577:LLY524109 LVU458577:LVU524109 MFQ458577:MFQ524109 MPM458577:MPM524109 MZI458577:MZI524109 NJE458577:NJE524109 NTA458577:NTA524109 OCW458577:OCW524109 OMS458577:OMS524109 OWO458577:OWO524109 PGK458577:PGK524109 PQG458577:PQG524109 QAC458577:QAC524109 QJY458577:QJY524109 QTU458577:QTU524109 RDQ458577:RDQ524109 RNM458577:RNM524109 RXI458577:RXI524109 SHE458577:SHE524109 SRA458577:SRA524109 TAW458577:TAW524109 TKS458577:TKS524109 TUO458577:TUO524109 UEK458577:UEK524109 UOG458577:UOG524109 UYC458577:UYC524109 VHY458577:VHY524109 VRU458577:VRU524109 WBQ458577:WBQ524109 WLM458577:WLM524109 WVI458577:WVI524109 B524113:B589645 IW524113:IW589645 SS524113:SS589645 ACO524113:ACO589645 AMK524113:AMK589645 AWG524113:AWG589645 BGC524113:BGC589645 BPY524113:BPY589645 BZU524113:BZU589645 CJQ524113:CJQ589645 CTM524113:CTM589645 DDI524113:DDI589645 DNE524113:DNE589645 DXA524113:DXA589645 EGW524113:EGW589645 EQS524113:EQS589645 FAO524113:FAO589645 FKK524113:FKK589645 FUG524113:FUG589645 GEC524113:GEC589645 GNY524113:GNY589645 GXU524113:GXU589645 HHQ524113:HHQ589645 HRM524113:HRM589645 IBI524113:IBI589645 ILE524113:ILE589645 IVA524113:IVA589645 JEW524113:JEW589645 JOS524113:JOS589645 JYO524113:JYO589645 KIK524113:KIK589645 KSG524113:KSG589645 LCC524113:LCC589645 LLY524113:LLY589645 LVU524113:LVU589645 MFQ524113:MFQ589645 MPM524113:MPM589645 MZI524113:MZI589645 NJE524113:NJE589645 NTA524113:NTA589645 OCW524113:OCW589645 OMS524113:OMS589645 OWO524113:OWO589645 PGK524113:PGK589645 PQG524113:PQG589645 QAC524113:QAC589645 QJY524113:QJY589645 QTU524113:QTU589645 RDQ524113:RDQ589645 RNM524113:RNM589645 RXI524113:RXI589645 SHE524113:SHE589645 SRA524113:SRA589645 TAW524113:TAW589645 TKS524113:TKS589645 TUO524113:TUO589645 UEK524113:UEK589645 UOG524113:UOG589645 UYC524113:UYC589645 VHY524113:VHY589645 VRU524113:VRU589645 WBQ524113:WBQ589645 WLM524113:WLM589645 WVI524113:WVI589645 B589649:B655181 IW589649:IW655181 SS589649:SS655181 ACO589649:ACO655181 AMK589649:AMK655181 AWG589649:AWG655181 BGC589649:BGC655181 BPY589649:BPY655181 BZU589649:BZU655181 CJQ589649:CJQ655181 CTM589649:CTM655181 DDI589649:DDI655181 DNE589649:DNE655181 DXA589649:DXA655181 EGW589649:EGW655181 EQS589649:EQS655181 FAO589649:FAO655181 FKK589649:FKK655181 FUG589649:FUG655181 GEC589649:GEC655181 GNY589649:GNY655181 GXU589649:GXU655181 HHQ589649:HHQ655181 HRM589649:HRM655181 IBI589649:IBI655181 ILE589649:ILE655181 IVA589649:IVA655181 JEW589649:JEW655181 JOS589649:JOS655181 JYO589649:JYO655181 KIK589649:KIK655181 KSG589649:KSG655181 LCC589649:LCC655181 LLY589649:LLY655181 LVU589649:LVU655181 MFQ589649:MFQ655181 MPM589649:MPM655181 MZI589649:MZI655181 NJE589649:NJE655181 NTA589649:NTA655181 OCW589649:OCW655181 OMS589649:OMS655181 OWO589649:OWO655181 PGK589649:PGK655181 PQG589649:PQG655181 QAC589649:QAC655181 QJY589649:QJY655181 QTU589649:QTU655181 RDQ589649:RDQ655181 RNM589649:RNM655181 RXI589649:RXI655181 SHE589649:SHE655181 SRA589649:SRA655181 TAW589649:TAW655181 TKS589649:TKS655181 TUO589649:TUO655181 UEK589649:UEK655181 UOG589649:UOG655181 UYC589649:UYC655181 VHY589649:VHY655181 VRU589649:VRU655181 WBQ589649:WBQ655181 WLM589649:WLM655181 WVI589649:WVI655181 B655185:B720717 IW655185:IW720717 SS655185:SS720717 ACO655185:ACO720717 AMK655185:AMK720717 AWG655185:AWG720717 BGC655185:BGC720717 BPY655185:BPY720717 BZU655185:BZU720717 CJQ655185:CJQ720717 CTM655185:CTM720717 DDI655185:DDI720717 DNE655185:DNE720717 DXA655185:DXA720717 EGW655185:EGW720717 EQS655185:EQS720717 FAO655185:FAO720717 FKK655185:FKK720717 FUG655185:FUG720717 GEC655185:GEC720717 GNY655185:GNY720717 GXU655185:GXU720717 HHQ655185:HHQ720717 HRM655185:HRM720717 IBI655185:IBI720717 ILE655185:ILE720717 IVA655185:IVA720717 JEW655185:JEW720717 JOS655185:JOS720717 JYO655185:JYO720717 KIK655185:KIK720717 KSG655185:KSG720717 LCC655185:LCC720717 LLY655185:LLY720717 LVU655185:LVU720717 MFQ655185:MFQ720717 MPM655185:MPM720717 MZI655185:MZI720717 NJE655185:NJE720717 NTA655185:NTA720717 OCW655185:OCW720717 OMS655185:OMS720717 OWO655185:OWO720717 PGK655185:PGK720717 PQG655185:PQG720717 QAC655185:QAC720717 QJY655185:QJY720717 QTU655185:QTU720717 RDQ655185:RDQ720717 RNM655185:RNM720717 RXI655185:RXI720717 SHE655185:SHE720717 SRA655185:SRA720717 TAW655185:TAW720717 TKS655185:TKS720717 TUO655185:TUO720717 UEK655185:UEK720717 UOG655185:UOG720717 UYC655185:UYC720717 VHY655185:VHY720717 VRU655185:VRU720717 WBQ655185:WBQ720717 WLM655185:WLM720717 WVI655185:WVI720717 B720721:B786253 IW720721:IW786253 SS720721:SS786253 ACO720721:ACO786253 AMK720721:AMK786253 AWG720721:AWG786253 BGC720721:BGC786253 BPY720721:BPY786253 BZU720721:BZU786253 CJQ720721:CJQ786253 CTM720721:CTM786253 DDI720721:DDI786253 DNE720721:DNE786253 DXA720721:DXA786253 EGW720721:EGW786253 EQS720721:EQS786253 FAO720721:FAO786253 FKK720721:FKK786253 FUG720721:FUG786253 GEC720721:GEC786253 GNY720721:GNY786253 GXU720721:GXU786253 HHQ720721:HHQ786253 HRM720721:HRM786253 IBI720721:IBI786253 ILE720721:ILE786253 IVA720721:IVA786253 JEW720721:JEW786253 JOS720721:JOS786253 JYO720721:JYO786253 KIK720721:KIK786253 KSG720721:KSG786253 LCC720721:LCC786253 LLY720721:LLY786253 LVU720721:LVU786253 MFQ720721:MFQ786253 MPM720721:MPM786253 MZI720721:MZI786253 NJE720721:NJE786253 NTA720721:NTA786253 OCW720721:OCW786253 OMS720721:OMS786253 OWO720721:OWO786253 PGK720721:PGK786253 PQG720721:PQG786253 QAC720721:QAC786253 QJY720721:QJY786253 QTU720721:QTU786253 RDQ720721:RDQ786253 RNM720721:RNM786253 RXI720721:RXI786253 SHE720721:SHE786253 SRA720721:SRA786253 TAW720721:TAW786253 TKS720721:TKS786253 TUO720721:TUO786253 UEK720721:UEK786253 UOG720721:UOG786253 UYC720721:UYC786253 VHY720721:VHY786253 VRU720721:VRU786253 WBQ720721:WBQ786253 WLM720721:WLM786253 WVI720721:WVI786253 B786257:B851789 IW786257:IW851789 SS786257:SS851789 ACO786257:ACO851789 AMK786257:AMK851789 AWG786257:AWG851789 BGC786257:BGC851789 BPY786257:BPY851789 BZU786257:BZU851789 CJQ786257:CJQ851789 CTM786257:CTM851789 DDI786257:DDI851789 DNE786257:DNE851789 DXA786257:DXA851789 EGW786257:EGW851789 EQS786257:EQS851789 FAO786257:FAO851789 FKK786257:FKK851789 FUG786257:FUG851789 GEC786257:GEC851789 GNY786257:GNY851789 GXU786257:GXU851789 HHQ786257:HHQ851789 HRM786257:HRM851789 IBI786257:IBI851789 ILE786257:ILE851789 IVA786257:IVA851789 JEW786257:JEW851789 JOS786257:JOS851789 JYO786257:JYO851789 KIK786257:KIK851789 KSG786257:KSG851789 LCC786257:LCC851789 LLY786257:LLY851789 LVU786257:LVU851789 MFQ786257:MFQ851789 MPM786257:MPM851789 MZI786257:MZI851789 NJE786257:NJE851789 NTA786257:NTA851789 OCW786257:OCW851789 OMS786257:OMS851789 OWO786257:OWO851789 PGK786257:PGK851789 PQG786257:PQG851789 QAC786257:QAC851789 QJY786257:QJY851789 QTU786257:QTU851789 RDQ786257:RDQ851789 RNM786257:RNM851789 RXI786257:RXI851789 SHE786257:SHE851789 SRA786257:SRA851789 TAW786257:TAW851789 TKS786257:TKS851789 TUO786257:TUO851789 UEK786257:UEK851789 UOG786257:UOG851789 UYC786257:UYC851789 VHY786257:VHY851789 VRU786257:VRU851789 WBQ786257:WBQ851789 WLM786257:WLM851789 WVI786257:WVI851789 B851793:B917325 IW851793:IW917325 SS851793:SS917325 ACO851793:ACO917325 AMK851793:AMK917325 AWG851793:AWG917325 BGC851793:BGC917325 BPY851793:BPY917325 BZU851793:BZU917325 CJQ851793:CJQ917325 CTM851793:CTM917325 DDI851793:DDI917325 DNE851793:DNE917325 DXA851793:DXA917325 EGW851793:EGW917325 EQS851793:EQS917325 FAO851793:FAO917325 FKK851793:FKK917325 FUG851793:FUG917325 GEC851793:GEC917325 GNY851793:GNY917325 GXU851793:GXU917325 HHQ851793:HHQ917325 HRM851793:HRM917325 IBI851793:IBI917325 ILE851793:ILE917325 IVA851793:IVA917325 JEW851793:JEW917325 JOS851793:JOS917325 JYO851793:JYO917325 KIK851793:KIK917325 KSG851793:KSG917325 LCC851793:LCC917325 LLY851793:LLY917325 LVU851793:LVU917325 MFQ851793:MFQ917325 MPM851793:MPM917325 MZI851793:MZI917325 NJE851793:NJE917325 NTA851793:NTA917325 OCW851793:OCW917325 OMS851793:OMS917325 OWO851793:OWO917325 PGK851793:PGK917325 PQG851793:PQG917325 QAC851793:QAC917325 QJY851793:QJY917325 QTU851793:QTU917325 RDQ851793:RDQ917325 RNM851793:RNM917325 RXI851793:RXI917325 SHE851793:SHE917325 SRA851793:SRA917325 TAW851793:TAW917325 TKS851793:TKS917325 TUO851793:TUO917325 UEK851793:UEK917325 UOG851793:UOG917325 UYC851793:UYC917325 VHY851793:VHY917325 VRU851793:VRU917325 WBQ851793:WBQ917325 WLM851793:WLM917325 WVI851793:WVI917325 B917329:B982861 IW917329:IW982861 SS917329:SS982861 ACO917329:ACO982861 AMK917329:AMK982861 AWG917329:AWG982861 BGC917329:BGC982861 BPY917329:BPY982861 BZU917329:BZU982861 CJQ917329:CJQ982861 CTM917329:CTM982861 DDI917329:DDI982861 DNE917329:DNE982861 DXA917329:DXA982861 EGW917329:EGW982861 EQS917329:EQS982861 FAO917329:FAO982861 FKK917329:FKK982861 FUG917329:FUG982861 GEC917329:GEC982861 GNY917329:GNY982861 GXU917329:GXU982861 HHQ917329:HHQ982861 HRM917329:HRM982861 IBI917329:IBI982861 ILE917329:ILE982861 IVA917329:IVA982861 JEW917329:JEW982861 JOS917329:JOS982861 JYO917329:JYO982861 KIK917329:KIK982861 KSG917329:KSG982861 LCC917329:LCC982861 LLY917329:LLY982861 LVU917329:LVU982861 MFQ917329:MFQ982861 MPM917329:MPM982861 MZI917329:MZI982861 NJE917329:NJE982861 NTA917329:NTA982861 OCW917329:OCW982861 OMS917329:OMS982861 OWO917329:OWO982861 PGK917329:PGK982861 PQG917329:PQG982861 QAC917329:QAC982861 QJY917329:QJY982861 QTU917329:QTU982861 RDQ917329:RDQ982861 RNM917329:RNM982861 RXI917329:RXI982861 SHE917329:SHE982861 SRA917329:SRA982861 TAW917329:TAW982861 TKS917329:TKS982861 TUO917329:TUO982861 UEK917329:UEK982861 UOG917329:UOG982861 UYC917329:UYC982861 VHY917329:VHY982861 VRU917329:VRU982861 WBQ917329:WBQ982861 WLM917329:WLM982861 WVI917329:WVI982861 B982865:B1048576 IW982865:IW1048576 SS982865:SS1048576 ACO982865:ACO1048576 AMK982865:AMK1048576 AWG982865:AWG1048576 BGC982865:BGC1048576 BPY982865:BPY1048576 BZU982865:BZU1048576 CJQ982865:CJQ1048576 CTM982865:CTM1048576 DDI982865:DDI1048576 DNE982865:DNE1048576 DXA982865:DXA1048576 EGW982865:EGW1048576 EQS982865:EQS1048576 FAO982865:FAO1048576 FKK982865:FKK1048576 FUG982865:FUG1048576 GEC982865:GEC1048576 GNY982865:GNY1048576 GXU982865:GXU1048576 HHQ982865:HHQ1048576 HRM982865:HRM1048576 IBI982865:IBI1048576 ILE982865:ILE1048576 IVA982865:IVA1048576 JEW982865:JEW1048576 JOS982865:JOS1048576 JYO982865:JYO1048576 KIK982865:KIK1048576 KSG982865:KSG1048576 LCC982865:LCC1048576 LLY982865:LLY1048576 LVU982865:LVU1048576 MFQ982865:MFQ1048576 MPM982865:MPM1048576 MZI982865:MZI1048576 NJE982865:NJE1048576 NTA982865:NTA1048576 OCW982865:OCW1048576 OMS982865:OMS1048576 OWO982865:OWO1048576 PGK982865:PGK1048576 PQG982865:PQG1048576 QAC982865:QAC1048576 QJY982865:QJY1048576 QTU982865:QTU1048576 RDQ982865:RDQ1048576 RNM982865:RNM1048576 RXI982865:RXI1048576 SHE982865:SHE1048576 SRA982865:SRA1048576 TAW982865:TAW1048576 TKS982865:TKS1048576 TUO982865:TUO1048576 UEK982865:UEK1048576 UOG982865:UOG1048576 UYC982865:UYC1048576 VHY982865:VHY1048576 VRU982865:VRU1048576 WBQ982865:WBQ1048576 WLM982865:WLM1048576 B1 IW6:IW65357 SS6:SS65357 ACO6:ACO65357 AMK6:AMK65357 AWG6:AWG65357 BGC6:BGC65357 BPY6:BPY65357 BZU6:BZU65357 CJQ6:CJQ65357 CTM6:CTM65357 DDI6:DDI65357 DNE6:DNE65357 DXA6:DXA65357 EGW6:EGW65357 EQS6:EQS65357 FAO6:FAO65357 FKK6:FKK65357 FUG6:FUG65357 GEC6:GEC65357 GNY6:GNY65357 GXU6:GXU65357 HHQ6:HHQ65357 HRM6:HRM65357 IBI6:IBI65357 ILE6:ILE65357 IVA6:IVA65357 JEW6:JEW65357 JOS6:JOS65357 JYO6:JYO65357 KIK6:KIK65357 KSG6:KSG65357 LCC6:LCC65357 LLY6:LLY65357 LVU6:LVU65357 MFQ6:MFQ65357 MPM6:MPM65357 MZI6:MZI65357 NJE6:NJE65357 NTA6:NTA65357 OCW6:OCW65357 OMS6:OMS65357 OWO6:OWO65357 PGK6:PGK65357 PQG6:PQG65357 QAC6:QAC65357 QJY6:QJY65357 QTU6:QTU65357 RDQ6:RDQ65357 RNM6:RNM65357 RXI6:RXI65357 SHE6:SHE65357 SRA6:SRA65357 TAW6:TAW65357 TKS6:TKS65357 TUO6:TUO65357 UEK6:UEK65357 UOG6:UOG65357 UYC6:UYC65357 VHY6:VHY65357 VRU6:VRU65357 WBQ6:WBQ65357 WLM6:WLM65357 WVI6:WVI65357 B22:B65357" xr:uid="{4EB2BB54-364E-4452-998C-9B8E8D9B6567}">
      <formula1>1</formula1>
      <formula2>2958465</formula2>
    </dataValidation>
    <dataValidation type="time" allowBlank="1" showInputMessage="1" showErrorMessage="1" sqref="WVJ982865:WVK1048576 IX1:IY1 ST1:SU1 ACP1:ACQ1 AML1:AMM1 AWH1:AWI1 BGD1:BGE1 BPZ1:BQA1 BZV1:BZW1 CJR1:CJS1 CTN1:CTO1 DDJ1:DDK1 DNF1:DNG1 DXB1:DXC1 EGX1:EGY1 EQT1:EQU1 FAP1:FAQ1 FKL1:FKM1 FUH1:FUI1 GED1:GEE1 GNZ1:GOA1 GXV1:GXW1 HHR1:HHS1 HRN1:HRO1 IBJ1:IBK1 ILF1:ILG1 IVB1:IVC1 JEX1:JEY1 JOT1:JOU1 JYP1:JYQ1 KIL1:KIM1 KSH1:KSI1 LCD1:LCE1 LLZ1:LMA1 LVV1:LVW1 MFR1:MFS1 MPN1:MPO1 MZJ1:MZK1 NJF1:NJG1 NTB1:NTC1 OCX1:OCY1 OMT1:OMU1 OWP1:OWQ1 PGL1:PGM1 PQH1:PQI1 QAD1:QAE1 QJZ1:QKA1 QTV1:QTW1 RDR1:RDS1 RNN1:RNO1 RXJ1:RXK1 SHF1:SHG1 SRB1:SRC1 TAX1:TAY1 TKT1:TKU1 TUP1:TUQ1 UEL1:UEM1 UOH1:UOI1 UYD1:UYE1 VHZ1:VIA1 VRV1:VRW1 WBR1:WBS1 WLN1:WLO1 WVJ1:WVK1 C65361:D130893 IX65361:IY130893 ST65361:SU130893 ACP65361:ACQ130893 AML65361:AMM130893 AWH65361:AWI130893 BGD65361:BGE130893 BPZ65361:BQA130893 BZV65361:BZW130893 CJR65361:CJS130893 CTN65361:CTO130893 DDJ65361:DDK130893 DNF65361:DNG130893 DXB65361:DXC130893 EGX65361:EGY130893 EQT65361:EQU130893 FAP65361:FAQ130893 FKL65361:FKM130893 FUH65361:FUI130893 GED65361:GEE130893 GNZ65361:GOA130893 GXV65361:GXW130893 HHR65361:HHS130893 HRN65361:HRO130893 IBJ65361:IBK130893 ILF65361:ILG130893 IVB65361:IVC130893 JEX65361:JEY130893 JOT65361:JOU130893 JYP65361:JYQ130893 KIL65361:KIM130893 KSH65361:KSI130893 LCD65361:LCE130893 LLZ65361:LMA130893 LVV65361:LVW130893 MFR65361:MFS130893 MPN65361:MPO130893 MZJ65361:MZK130893 NJF65361:NJG130893 NTB65361:NTC130893 OCX65361:OCY130893 OMT65361:OMU130893 OWP65361:OWQ130893 PGL65361:PGM130893 PQH65361:PQI130893 QAD65361:QAE130893 QJZ65361:QKA130893 QTV65361:QTW130893 RDR65361:RDS130893 RNN65361:RNO130893 RXJ65361:RXK130893 SHF65361:SHG130893 SRB65361:SRC130893 TAX65361:TAY130893 TKT65361:TKU130893 TUP65361:TUQ130893 UEL65361:UEM130893 UOH65361:UOI130893 UYD65361:UYE130893 VHZ65361:VIA130893 VRV65361:VRW130893 WBR65361:WBS130893 WLN65361:WLO130893 WVJ65361:WVK130893 C130897:D196429 IX130897:IY196429 ST130897:SU196429 ACP130897:ACQ196429 AML130897:AMM196429 AWH130897:AWI196429 BGD130897:BGE196429 BPZ130897:BQA196429 BZV130897:BZW196429 CJR130897:CJS196429 CTN130897:CTO196429 DDJ130897:DDK196429 DNF130897:DNG196429 DXB130897:DXC196429 EGX130897:EGY196429 EQT130897:EQU196429 FAP130897:FAQ196429 FKL130897:FKM196429 FUH130897:FUI196429 GED130897:GEE196429 GNZ130897:GOA196429 GXV130897:GXW196429 HHR130897:HHS196429 HRN130897:HRO196429 IBJ130897:IBK196429 ILF130897:ILG196429 IVB130897:IVC196429 JEX130897:JEY196429 JOT130897:JOU196429 JYP130897:JYQ196429 KIL130897:KIM196429 KSH130897:KSI196429 LCD130897:LCE196429 LLZ130897:LMA196429 LVV130897:LVW196429 MFR130897:MFS196429 MPN130897:MPO196429 MZJ130897:MZK196429 NJF130897:NJG196429 NTB130897:NTC196429 OCX130897:OCY196429 OMT130897:OMU196429 OWP130897:OWQ196429 PGL130897:PGM196429 PQH130897:PQI196429 QAD130897:QAE196429 QJZ130897:QKA196429 QTV130897:QTW196429 RDR130897:RDS196429 RNN130897:RNO196429 RXJ130897:RXK196429 SHF130897:SHG196429 SRB130897:SRC196429 TAX130897:TAY196429 TKT130897:TKU196429 TUP130897:TUQ196429 UEL130897:UEM196429 UOH130897:UOI196429 UYD130897:UYE196429 VHZ130897:VIA196429 VRV130897:VRW196429 WBR130897:WBS196429 WLN130897:WLO196429 WVJ130897:WVK196429 C196433:D261965 IX196433:IY261965 ST196433:SU261965 ACP196433:ACQ261965 AML196433:AMM261965 AWH196433:AWI261965 BGD196433:BGE261965 BPZ196433:BQA261965 BZV196433:BZW261965 CJR196433:CJS261965 CTN196433:CTO261965 DDJ196433:DDK261965 DNF196433:DNG261965 DXB196433:DXC261965 EGX196433:EGY261965 EQT196433:EQU261965 FAP196433:FAQ261965 FKL196433:FKM261965 FUH196433:FUI261965 GED196433:GEE261965 GNZ196433:GOA261965 GXV196433:GXW261965 HHR196433:HHS261965 HRN196433:HRO261965 IBJ196433:IBK261965 ILF196433:ILG261965 IVB196433:IVC261965 JEX196433:JEY261965 JOT196433:JOU261965 JYP196433:JYQ261965 KIL196433:KIM261965 KSH196433:KSI261965 LCD196433:LCE261965 LLZ196433:LMA261965 LVV196433:LVW261965 MFR196433:MFS261965 MPN196433:MPO261965 MZJ196433:MZK261965 NJF196433:NJG261965 NTB196433:NTC261965 OCX196433:OCY261965 OMT196433:OMU261965 OWP196433:OWQ261965 PGL196433:PGM261965 PQH196433:PQI261965 QAD196433:QAE261965 QJZ196433:QKA261965 QTV196433:QTW261965 RDR196433:RDS261965 RNN196433:RNO261965 RXJ196433:RXK261965 SHF196433:SHG261965 SRB196433:SRC261965 TAX196433:TAY261965 TKT196433:TKU261965 TUP196433:TUQ261965 UEL196433:UEM261965 UOH196433:UOI261965 UYD196433:UYE261965 VHZ196433:VIA261965 VRV196433:VRW261965 WBR196433:WBS261965 WLN196433:WLO261965 WVJ196433:WVK261965 C261969:D327501 IX261969:IY327501 ST261969:SU327501 ACP261969:ACQ327501 AML261969:AMM327501 AWH261969:AWI327501 BGD261969:BGE327501 BPZ261969:BQA327501 BZV261969:BZW327501 CJR261969:CJS327501 CTN261969:CTO327501 DDJ261969:DDK327501 DNF261969:DNG327501 DXB261969:DXC327501 EGX261969:EGY327501 EQT261969:EQU327501 FAP261969:FAQ327501 FKL261969:FKM327501 FUH261969:FUI327501 GED261969:GEE327501 GNZ261969:GOA327501 GXV261969:GXW327501 HHR261969:HHS327501 HRN261969:HRO327501 IBJ261969:IBK327501 ILF261969:ILG327501 IVB261969:IVC327501 JEX261969:JEY327501 JOT261969:JOU327501 JYP261969:JYQ327501 KIL261969:KIM327501 KSH261969:KSI327501 LCD261969:LCE327501 LLZ261969:LMA327501 LVV261969:LVW327501 MFR261969:MFS327501 MPN261969:MPO327501 MZJ261969:MZK327501 NJF261969:NJG327501 NTB261969:NTC327501 OCX261969:OCY327501 OMT261969:OMU327501 OWP261969:OWQ327501 PGL261969:PGM327501 PQH261969:PQI327501 QAD261969:QAE327501 QJZ261969:QKA327501 QTV261969:QTW327501 RDR261969:RDS327501 RNN261969:RNO327501 RXJ261969:RXK327501 SHF261969:SHG327501 SRB261969:SRC327501 TAX261969:TAY327501 TKT261969:TKU327501 TUP261969:TUQ327501 UEL261969:UEM327501 UOH261969:UOI327501 UYD261969:UYE327501 VHZ261969:VIA327501 VRV261969:VRW327501 WBR261969:WBS327501 WLN261969:WLO327501 WVJ261969:WVK327501 C327505:D393037 IX327505:IY393037 ST327505:SU393037 ACP327505:ACQ393037 AML327505:AMM393037 AWH327505:AWI393037 BGD327505:BGE393037 BPZ327505:BQA393037 BZV327505:BZW393037 CJR327505:CJS393037 CTN327505:CTO393037 DDJ327505:DDK393037 DNF327505:DNG393037 DXB327505:DXC393037 EGX327505:EGY393037 EQT327505:EQU393037 FAP327505:FAQ393037 FKL327505:FKM393037 FUH327505:FUI393037 GED327505:GEE393037 GNZ327505:GOA393037 GXV327505:GXW393037 HHR327505:HHS393037 HRN327505:HRO393037 IBJ327505:IBK393037 ILF327505:ILG393037 IVB327505:IVC393037 JEX327505:JEY393037 JOT327505:JOU393037 JYP327505:JYQ393037 KIL327505:KIM393037 KSH327505:KSI393037 LCD327505:LCE393037 LLZ327505:LMA393037 LVV327505:LVW393037 MFR327505:MFS393037 MPN327505:MPO393037 MZJ327505:MZK393037 NJF327505:NJG393037 NTB327505:NTC393037 OCX327505:OCY393037 OMT327505:OMU393037 OWP327505:OWQ393037 PGL327505:PGM393037 PQH327505:PQI393037 QAD327505:QAE393037 QJZ327505:QKA393037 QTV327505:QTW393037 RDR327505:RDS393037 RNN327505:RNO393037 RXJ327505:RXK393037 SHF327505:SHG393037 SRB327505:SRC393037 TAX327505:TAY393037 TKT327505:TKU393037 TUP327505:TUQ393037 UEL327505:UEM393037 UOH327505:UOI393037 UYD327505:UYE393037 VHZ327505:VIA393037 VRV327505:VRW393037 WBR327505:WBS393037 WLN327505:WLO393037 WVJ327505:WVK393037 C393041:D458573 IX393041:IY458573 ST393041:SU458573 ACP393041:ACQ458573 AML393041:AMM458573 AWH393041:AWI458573 BGD393041:BGE458573 BPZ393041:BQA458573 BZV393041:BZW458573 CJR393041:CJS458573 CTN393041:CTO458573 DDJ393041:DDK458573 DNF393041:DNG458573 DXB393041:DXC458573 EGX393041:EGY458573 EQT393041:EQU458573 FAP393041:FAQ458573 FKL393041:FKM458573 FUH393041:FUI458573 GED393041:GEE458573 GNZ393041:GOA458573 GXV393041:GXW458573 HHR393041:HHS458573 HRN393041:HRO458573 IBJ393041:IBK458573 ILF393041:ILG458573 IVB393041:IVC458573 JEX393041:JEY458573 JOT393041:JOU458573 JYP393041:JYQ458573 KIL393041:KIM458573 KSH393041:KSI458573 LCD393041:LCE458573 LLZ393041:LMA458573 LVV393041:LVW458573 MFR393041:MFS458573 MPN393041:MPO458573 MZJ393041:MZK458573 NJF393041:NJG458573 NTB393041:NTC458573 OCX393041:OCY458573 OMT393041:OMU458573 OWP393041:OWQ458573 PGL393041:PGM458573 PQH393041:PQI458573 QAD393041:QAE458573 QJZ393041:QKA458573 QTV393041:QTW458573 RDR393041:RDS458573 RNN393041:RNO458573 RXJ393041:RXK458573 SHF393041:SHG458573 SRB393041:SRC458573 TAX393041:TAY458573 TKT393041:TKU458573 TUP393041:TUQ458573 UEL393041:UEM458573 UOH393041:UOI458573 UYD393041:UYE458573 VHZ393041:VIA458573 VRV393041:VRW458573 WBR393041:WBS458573 WLN393041:WLO458573 WVJ393041:WVK458573 C458577:D524109 IX458577:IY524109 ST458577:SU524109 ACP458577:ACQ524109 AML458577:AMM524109 AWH458577:AWI524109 BGD458577:BGE524109 BPZ458577:BQA524109 BZV458577:BZW524109 CJR458577:CJS524109 CTN458577:CTO524109 DDJ458577:DDK524109 DNF458577:DNG524109 DXB458577:DXC524109 EGX458577:EGY524109 EQT458577:EQU524109 FAP458577:FAQ524109 FKL458577:FKM524109 FUH458577:FUI524109 GED458577:GEE524109 GNZ458577:GOA524109 GXV458577:GXW524109 HHR458577:HHS524109 HRN458577:HRO524109 IBJ458577:IBK524109 ILF458577:ILG524109 IVB458577:IVC524109 JEX458577:JEY524109 JOT458577:JOU524109 JYP458577:JYQ524109 KIL458577:KIM524109 KSH458577:KSI524109 LCD458577:LCE524109 LLZ458577:LMA524109 LVV458577:LVW524109 MFR458577:MFS524109 MPN458577:MPO524109 MZJ458577:MZK524109 NJF458577:NJG524109 NTB458577:NTC524109 OCX458577:OCY524109 OMT458577:OMU524109 OWP458577:OWQ524109 PGL458577:PGM524109 PQH458577:PQI524109 QAD458577:QAE524109 QJZ458577:QKA524109 QTV458577:QTW524109 RDR458577:RDS524109 RNN458577:RNO524109 RXJ458577:RXK524109 SHF458577:SHG524109 SRB458577:SRC524109 TAX458577:TAY524109 TKT458577:TKU524109 TUP458577:TUQ524109 UEL458577:UEM524109 UOH458577:UOI524109 UYD458577:UYE524109 VHZ458577:VIA524109 VRV458577:VRW524109 WBR458577:WBS524109 WLN458577:WLO524109 WVJ458577:WVK524109 C524113:D589645 IX524113:IY589645 ST524113:SU589645 ACP524113:ACQ589645 AML524113:AMM589645 AWH524113:AWI589645 BGD524113:BGE589645 BPZ524113:BQA589645 BZV524113:BZW589645 CJR524113:CJS589645 CTN524113:CTO589645 DDJ524113:DDK589645 DNF524113:DNG589645 DXB524113:DXC589645 EGX524113:EGY589645 EQT524113:EQU589645 FAP524113:FAQ589645 FKL524113:FKM589645 FUH524113:FUI589645 GED524113:GEE589645 GNZ524113:GOA589645 GXV524113:GXW589645 HHR524113:HHS589645 HRN524113:HRO589645 IBJ524113:IBK589645 ILF524113:ILG589645 IVB524113:IVC589645 JEX524113:JEY589645 JOT524113:JOU589645 JYP524113:JYQ589645 KIL524113:KIM589645 KSH524113:KSI589645 LCD524113:LCE589645 LLZ524113:LMA589645 LVV524113:LVW589645 MFR524113:MFS589645 MPN524113:MPO589645 MZJ524113:MZK589645 NJF524113:NJG589645 NTB524113:NTC589645 OCX524113:OCY589645 OMT524113:OMU589645 OWP524113:OWQ589645 PGL524113:PGM589645 PQH524113:PQI589645 QAD524113:QAE589645 QJZ524113:QKA589645 QTV524113:QTW589645 RDR524113:RDS589645 RNN524113:RNO589645 RXJ524113:RXK589645 SHF524113:SHG589645 SRB524113:SRC589645 TAX524113:TAY589645 TKT524113:TKU589645 TUP524113:TUQ589645 UEL524113:UEM589645 UOH524113:UOI589645 UYD524113:UYE589645 VHZ524113:VIA589645 VRV524113:VRW589645 WBR524113:WBS589645 WLN524113:WLO589645 WVJ524113:WVK589645 C589649:D655181 IX589649:IY655181 ST589649:SU655181 ACP589649:ACQ655181 AML589649:AMM655181 AWH589649:AWI655181 BGD589649:BGE655181 BPZ589649:BQA655181 BZV589649:BZW655181 CJR589649:CJS655181 CTN589649:CTO655181 DDJ589649:DDK655181 DNF589649:DNG655181 DXB589649:DXC655181 EGX589649:EGY655181 EQT589649:EQU655181 FAP589649:FAQ655181 FKL589649:FKM655181 FUH589649:FUI655181 GED589649:GEE655181 GNZ589649:GOA655181 GXV589649:GXW655181 HHR589649:HHS655181 HRN589649:HRO655181 IBJ589649:IBK655181 ILF589649:ILG655181 IVB589649:IVC655181 JEX589649:JEY655181 JOT589649:JOU655181 JYP589649:JYQ655181 KIL589649:KIM655181 KSH589649:KSI655181 LCD589649:LCE655181 LLZ589649:LMA655181 LVV589649:LVW655181 MFR589649:MFS655181 MPN589649:MPO655181 MZJ589649:MZK655181 NJF589649:NJG655181 NTB589649:NTC655181 OCX589649:OCY655181 OMT589649:OMU655181 OWP589649:OWQ655181 PGL589649:PGM655181 PQH589649:PQI655181 QAD589649:QAE655181 QJZ589649:QKA655181 QTV589649:QTW655181 RDR589649:RDS655181 RNN589649:RNO655181 RXJ589649:RXK655181 SHF589649:SHG655181 SRB589649:SRC655181 TAX589649:TAY655181 TKT589649:TKU655181 TUP589649:TUQ655181 UEL589649:UEM655181 UOH589649:UOI655181 UYD589649:UYE655181 VHZ589649:VIA655181 VRV589649:VRW655181 WBR589649:WBS655181 WLN589649:WLO655181 WVJ589649:WVK655181 C655185:D720717 IX655185:IY720717 ST655185:SU720717 ACP655185:ACQ720717 AML655185:AMM720717 AWH655185:AWI720717 BGD655185:BGE720717 BPZ655185:BQA720717 BZV655185:BZW720717 CJR655185:CJS720717 CTN655185:CTO720717 DDJ655185:DDK720717 DNF655185:DNG720717 DXB655185:DXC720717 EGX655185:EGY720717 EQT655185:EQU720717 FAP655185:FAQ720717 FKL655185:FKM720717 FUH655185:FUI720717 GED655185:GEE720717 GNZ655185:GOA720717 GXV655185:GXW720717 HHR655185:HHS720717 HRN655185:HRO720717 IBJ655185:IBK720717 ILF655185:ILG720717 IVB655185:IVC720717 JEX655185:JEY720717 JOT655185:JOU720717 JYP655185:JYQ720717 KIL655185:KIM720717 KSH655185:KSI720717 LCD655185:LCE720717 LLZ655185:LMA720717 LVV655185:LVW720717 MFR655185:MFS720717 MPN655185:MPO720717 MZJ655185:MZK720717 NJF655185:NJG720717 NTB655185:NTC720717 OCX655185:OCY720717 OMT655185:OMU720717 OWP655185:OWQ720717 PGL655185:PGM720717 PQH655185:PQI720717 QAD655185:QAE720717 QJZ655185:QKA720717 QTV655185:QTW720717 RDR655185:RDS720717 RNN655185:RNO720717 RXJ655185:RXK720717 SHF655185:SHG720717 SRB655185:SRC720717 TAX655185:TAY720717 TKT655185:TKU720717 TUP655185:TUQ720717 UEL655185:UEM720717 UOH655185:UOI720717 UYD655185:UYE720717 VHZ655185:VIA720717 VRV655185:VRW720717 WBR655185:WBS720717 WLN655185:WLO720717 WVJ655185:WVK720717 C720721:D786253 IX720721:IY786253 ST720721:SU786253 ACP720721:ACQ786253 AML720721:AMM786253 AWH720721:AWI786253 BGD720721:BGE786253 BPZ720721:BQA786253 BZV720721:BZW786253 CJR720721:CJS786253 CTN720721:CTO786253 DDJ720721:DDK786253 DNF720721:DNG786253 DXB720721:DXC786253 EGX720721:EGY786253 EQT720721:EQU786253 FAP720721:FAQ786253 FKL720721:FKM786253 FUH720721:FUI786253 GED720721:GEE786253 GNZ720721:GOA786253 GXV720721:GXW786253 HHR720721:HHS786253 HRN720721:HRO786253 IBJ720721:IBK786253 ILF720721:ILG786253 IVB720721:IVC786253 JEX720721:JEY786253 JOT720721:JOU786253 JYP720721:JYQ786253 KIL720721:KIM786253 KSH720721:KSI786253 LCD720721:LCE786253 LLZ720721:LMA786253 LVV720721:LVW786253 MFR720721:MFS786253 MPN720721:MPO786253 MZJ720721:MZK786253 NJF720721:NJG786253 NTB720721:NTC786253 OCX720721:OCY786253 OMT720721:OMU786253 OWP720721:OWQ786253 PGL720721:PGM786253 PQH720721:PQI786253 QAD720721:QAE786253 QJZ720721:QKA786253 QTV720721:QTW786253 RDR720721:RDS786253 RNN720721:RNO786253 RXJ720721:RXK786253 SHF720721:SHG786253 SRB720721:SRC786253 TAX720721:TAY786253 TKT720721:TKU786253 TUP720721:TUQ786253 UEL720721:UEM786253 UOH720721:UOI786253 UYD720721:UYE786253 VHZ720721:VIA786253 VRV720721:VRW786253 WBR720721:WBS786253 WLN720721:WLO786253 WVJ720721:WVK786253 C786257:D851789 IX786257:IY851789 ST786257:SU851789 ACP786257:ACQ851789 AML786257:AMM851789 AWH786257:AWI851789 BGD786257:BGE851789 BPZ786257:BQA851789 BZV786257:BZW851789 CJR786257:CJS851789 CTN786257:CTO851789 DDJ786257:DDK851789 DNF786257:DNG851789 DXB786257:DXC851789 EGX786257:EGY851789 EQT786257:EQU851789 FAP786257:FAQ851789 FKL786257:FKM851789 FUH786257:FUI851789 GED786257:GEE851789 GNZ786257:GOA851789 GXV786257:GXW851789 HHR786257:HHS851789 HRN786257:HRO851789 IBJ786257:IBK851789 ILF786257:ILG851789 IVB786257:IVC851789 JEX786257:JEY851789 JOT786257:JOU851789 JYP786257:JYQ851789 KIL786257:KIM851789 KSH786257:KSI851789 LCD786257:LCE851789 LLZ786257:LMA851789 LVV786257:LVW851789 MFR786257:MFS851789 MPN786257:MPO851789 MZJ786257:MZK851789 NJF786257:NJG851789 NTB786257:NTC851789 OCX786257:OCY851789 OMT786257:OMU851789 OWP786257:OWQ851789 PGL786257:PGM851789 PQH786257:PQI851789 QAD786257:QAE851789 QJZ786257:QKA851789 QTV786257:QTW851789 RDR786257:RDS851789 RNN786257:RNO851789 RXJ786257:RXK851789 SHF786257:SHG851789 SRB786257:SRC851789 TAX786257:TAY851789 TKT786257:TKU851789 TUP786257:TUQ851789 UEL786257:UEM851789 UOH786257:UOI851789 UYD786257:UYE851789 VHZ786257:VIA851789 VRV786257:VRW851789 WBR786257:WBS851789 WLN786257:WLO851789 WVJ786257:WVK851789 C851793:D917325 IX851793:IY917325 ST851793:SU917325 ACP851793:ACQ917325 AML851793:AMM917325 AWH851793:AWI917325 BGD851793:BGE917325 BPZ851793:BQA917325 BZV851793:BZW917325 CJR851793:CJS917325 CTN851793:CTO917325 DDJ851793:DDK917325 DNF851793:DNG917325 DXB851793:DXC917325 EGX851793:EGY917325 EQT851793:EQU917325 FAP851793:FAQ917325 FKL851793:FKM917325 FUH851793:FUI917325 GED851793:GEE917325 GNZ851793:GOA917325 GXV851793:GXW917325 HHR851793:HHS917325 HRN851793:HRO917325 IBJ851793:IBK917325 ILF851793:ILG917325 IVB851793:IVC917325 JEX851793:JEY917325 JOT851793:JOU917325 JYP851793:JYQ917325 KIL851793:KIM917325 KSH851793:KSI917325 LCD851793:LCE917325 LLZ851793:LMA917325 LVV851793:LVW917325 MFR851793:MFS917325 MPN851793:MPO917325 MZJ851793:MZK917325 NJF851793:NJG917325 NTB851793:NTC917325 OCX851793:OCY917325 OMT851793:OMU917325 OWP851793:OWQ917325 PGL851793:PGM917325 PQH851793:PQI917325 QAD851793:QAE917325 QJZ851793:QKA917325 QTV851793:QTW917325 RDR851793:RDS917325 RNN851793:RNO917325 RXJ851793:RXK917325 SHF851793:SHG917325 SRB851793:SRC917325 TAX851793:TAY917325 TKT851793:TKU917325 TUP851793:TUQ917325 UEL851793:UEM917325 UOH851793:UOI917325 UYD851793:UYE917325 VHZ851793:VIA917325 VRV851793:VRW917325 WBR851793:WBS917325 WLN851793:WLO917325 WVJ851793:WVK917325 C917329:D982861 IX917329:IY982861 ST917329:SU982861 ACP917329:ACQ982861 AML917329:AMM982861 AWH917329:AWI982861 BGD917329:BGE982861 BPZ917329:BQA982861 BZV917329:BZW982861 CJR917329:CJS982861 CTN917329:CTO982861 DDJ917329:DDK982861 DNF917329:DNG982861 DXB917329:DXC982861 EGX917329:EGY982861 EQT917329:EQU982861 FAP917329:FAQ982861 FKL917329:FKM982861 FUH917329:FUI982861 GED917329:GEE982861 GNZ917329:GOA982861 GXV917329:GXW982861 HHR917329:HHS982861 HRN917329:HRO982861 IBJ917329:IBK982861 ILF917329:ILG982861 IVB917329:IVC982861 JEX917329:JEY982861 JOT917329:JOU982861 JYP917329:JYQ982861 KIL917329:KIM982861 KSH917329:KSI982861 LCD917329:LCE982861 LLZ917329:LMA982861 LVV917329:LVW982861 MFR917329:MFS982861 MPN917329:MPO982861 MZJ917329:MZK982861 NJF917329:NJG982861 NTB917329:NTC982861 OCX917329:OCY982861 OMT917329:OMU982861 OWP917329:OWQ982861 PGL917329:PGM982861 PQH917329:PQI982861 QAD917329:QAE982861 QJZ917329:QKA982861 QTV917329:QTW982861 RDR917329:RDS982861 RNN917329:RNO982861 RXJ917329:RXK982861 SHF917329:SHG982861 SRB917329:SRC982861 TAX917329:TAY982861 TKT917329:TKU982861 TUP917329:TUQ982861 UEL917329:UEM982861 UOH917329:UOI982861 UYD917329:UYE982861 VHZ917329:VIA982861 VRV917329:VRW982861 WBR917329:WBS982861 WLN917329:WLO982861 WVJ917329:WVK982861 C982865:D1048576 IX982865:IY1048576 ST982865:SU1048576 ACP982865:ACQ1048576 AML982865:AMM1048576 AWH982865:AWI1048576 BGD982865:BGE1048576 BPZ982865:BQA1048576 BZV982865:BZW1048576 CJR982865:CJS1048576 CTN982865:CTO1048576 DDJ982865:DDK1048576 DNF982865:DNG1048576 DXB982865:DXC1048576 EGX982865:EGY1048576 EQT982865:EQU1048576 FAP982865:FAQ1048576 FKL982865:FKM1048576 FUH982865:FUI1048576 GED982865:GEE1048576 GNZ982865:GOA1048576 GXV982865:GXW1048576 HHR982865:HHS1048576 HRN982865:HRO1048576 IBJ982865:IBK1048576 ILF982865:ILG1048576 IVB982865:IVC1048576 JEX982865:JEY1048576 JOT982865:JOU1048576 JYP982865:JYQ1048576 KIL982865:KIM1048576 KSH982865:KSI1048576 LCD982865:LCE1048576 LLZ982865:LMA1048576 LVV982865:LVW1048576 MFR982865:MFS1048576 MPN982865:MPO1048576 MZJ982865:MZK1048576 NJF982865:NJG1048576 NTB982865:NTC1048576 OCX982865:OCY1048576 OMT982865:OMU1048576 OWP982865:OWQ1048576 PGL982865:PGM1048576 PQH982865:PQI1048576 QAD982865:QAE1048576 QJZ982865:QKA1048576 QTV982865:QTW1048576 RDR982865:RDS1048576 RNN982865:RNO1048576 RXJ982865:RXK1048576 SHF982865:SHG1048576 SRB982865:SRC1048576 TAX982865:TAY1048576 TKT982865:TKU1048576 TUP982865:TUQ1048576 UEL982865:UEM1048576 UOH982865:UOI1048576 UYD982865:UYE1048576 VHZ982865:VIA1048576 VRV982865:VRW1048576 WBR982865:WBS1048576 WLN982865:WLO1048576 C1:D1 IX6:IY65357 ST6:SU65357 ACP6:ACQ65357 AML6:AMM65357 AWH6:AWI65357 BGD6:BGE65357 BPZ6:BQA65357 BZV6:BZW65357 CJR6:CJS65357 CTN6:CTO65357 DDJ6:DDK65357 DNF6:DNG65357 DXB6:DXC65357 EGX6:EGY65357 EQT6:EQU65357 FAP6:FAQ65357 FKL6:FKM65357 FUH6:FUI65357 GED6:GEE65357 GNZ6:GOA65357 GXV6:GXW65357 HHR6:HHS65357 HRN6:HRO65357 IBJ6:IBK65357 ILF6:ILG65357 IVB6:IVC65357 JEX6:JEY65357 JOT6:JOU65357 JYP6:JYQ65357 KIL6:KIM65357 KSH6:KSI65357 LCD6:LCE65357 LLZ6:LMA65357 LVV6:LVW65357 MFR6:MFS65357 MPN6:MPO65357 MZJ6:MZK65357 NJF6:NJG65357 NTB6:NTC65357 OCX6:OCY65357 OMT6:OMU65357 OWP6:OWQ65357 PGL6:PGM65357 PQH6:PQI65357 QAD6:QAE65357 QJZ6:QKA65357 QTV6:QTW65357 RDR6:RDS65357 RNN6:RNO65357 RXJ6:RXK65357 SHF6:SHG65357 SRB6:SRC65357 TAX6:TAY65357 TKT6:TKU65357 TUP6:TUQ65357 UEL6:UEM65357 UOH6:UOI65357 UYD6:UYE65357 VHZ6:VIA65357 VRV6:VRW65357 WBR6:WBS65357 WLN6:WLO65357 WVJ6:WVK65357 C6:D65357" xr:uid="{9DF12C3D-6EB9-416C-B823-094CD8C2AD49}">
      <formula1>0</formula1>
      <formula2>0.999988425925926</formula2>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btn_CASSave">
                <anchor moveWithCells="1" sizeWithCells="1">
                  <from>
                    <xdr:col>15</xdr:col>
                    <xdr:colOff>289560</xdr:colOff>
                    <xdr:row>0</xdr:row>
                    <xdr:rowOff>76200</xdr:rowOff>
                  </from>
                  <to>
                    <xdr:col>16</xdr:col>
                    <xdr:colOff>457200</xdr:colOff>
                    <xdr:row>0</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CC493-98EC-42FF-AA8B-8247B067DB31}">
  <sheetPr codeName="Tabelle4"/>
  <dimension ref="A1:P197"/>
  <sheetViews>
    <sheetView zoomScaleNormal="100" workbookViewId="0">
      <pane ySplit="1" topLeftCell="A2" activePane="bottomLeft" state="frozen"/>
      <selection pane="bottomLeft" activeCell="O2" sqref="A2:XFD4"/>
    </sheetView>
  </sheetViews>
  <sheetFormatPr baseColWidth="10" defaultRowHeight="14.4" x14ac:dyDescent="0.3"/>
  <cols>
    <col min="1" max="1" width="11.33203125" style="42" bestFit="1" customWidth="1"/>
    <col min="2" max="3" width="5.6640625" style="52" bestFit="1" customWidth="1"/>
    <col min="4" max="4" width="7.88671875" style="42" bestFit="1" customWidth="1"/>
    <col min="5" max="5" width="22.88671875" style="42" bestFit="1" customWidth="1"/>
    <col min="6" max="6" width="16.33203125" style="42" customWidth="1"/>
    <col min="7" max="7" width="14.109375" style="42" customWidth="1"/>
    <col min="8" max="8" width="28.109375" style="42" customWidth="1"/>
    <col min="9" max="9" width="11.44140625" style="42"/>
    <col min="10" max="10" width="3.33203125" style="42" bestFit="1" customWidth="1"/>
    <col min="11" max="11" width="44.33203125" style="42" bestFit="1" customWidth="1"/>
    <col min="12" max="12" width="12.6640625" style="2" bestFit="1" customWidth="1"/>
    <col min="15" max="15" width="30.6640625" customWidth="1"/>
    <col min="16" max="16" width="9" bestFit="1" customWidth="1"/>
  </cols>
  <sheetData>
    <row r="1" spans="1:16" s="16" customFormat="1" ht="41.25" customHeight="1" x14ac:dyDescent="0.3">
      <c r="A1" s="56" t="s">
        <v>15</v>
      </c>
      <c r="B1" s="57" t="s">
        <v>17</v>
      </c>
      <c r="C1" s="57" t="s">
        <v>18</v>
      </c>
      <c r="D1" s="58" t="s">
        <v>25</v>
      </c>
      <c r="E1" s="58" t="s">
        <v>19</v>
      </c>
      <c r="F1" s="58" t="s">
        <v>20</v>
      </c>
      <c r="G1" s="58" t="s">
        <v>21</v>
      </c>
      <c r="H1" s="58" t="s">
        <v>22</v>
      </c>
      <c r="I1" s="58" t="s">
        <v>23</v>
      </c>
      <c r="J1" s="58" t="s">
        <v>26</v>
      </c>
      <c r="K1" s="58" t="s">
        <v>24</v>
      </c>
      <c r="L1" s="59" t="s">
        <v>30</v>
      </c>
      <c r="M1" s="61"/>
      <c r="N1" s="62"/>
      <c r="O1" s="60" t="s">
        <v>19</v>
      </c>
      <c r="P1" s="53" t="s">
        <v>33</v>
      </c>
    </row>
    <row r="2" spans="1:16" x14ac:dyDescent="0.3">
      <c r="A2" s="39">
        <v>44263</v>
      </c>
      <c r="B2" s="40">
        <v>0.375</v>
      </c>
      <c r="C2" s="40">
        <v>0.38541666666666669</v>
      </c>
      <c r="D2" s="40"/>
      <c r="E2" s="41" t="s">
        <v>36</v>
      </c>
      <c r="F2" s="41"/>
      <c r="G2" s="41"/>
      <c r="H2" s="41"/>
      <c r="I2" s="41"/>
      <c r="J2" s="41"/>
      <c r="K2" s="41"/>
      <c r="L2" s="2" t="str">
        <f t="shared" ref="L2:L63" si="0">IF(LEN(K2)&gt;0,120-LEN(K2),"")</f>
        <v/>
      </c>
      <c r="P2" s="55"/>
    </row>
    <row r="3" spans="1:16" x14ac:dyDescent="0.3">
      <c r="A3" s="39"/>
      <c r="B3" s="40"/>
      <c r="C3" s="40"/>
      <c r="D3" s="40"/>
      <c r="E3" s="41"/>
      <c r="F3" s="41"/>
      <c r="G3" s="41"/>
      <c r="H3" s="41"/>
      <c r="I3" s="41"/>
      <c r="J3" s="41"/>
      <c r="K3" s="41"/>
      <c r="L3" s="2" t="str">
        <f t="shared" si="0"/>
        <v/>
      </c>
      <c r="P3" s="55"/>
    </row>
    <row r="4" spans="1:16" x14ac:dyDescent="0.3">
      <c r="A4" s="39"/>
      <c r="B4" s="40"/>
      <c r="C4" s="40"/>
      <c r="D4" s="40"/>
      <c r="E4" s="41"/>
      <c r="F4" s="41"/>
      <c r="G4" s="41"/>
      <c r="H4" s="41"/>
      <c r="I4" s="41"/>
      <c r="J4" s="41"/>
      <c r="K4" s="41"/>
      <c r="L4" s="2" t="str">
        <f t="shared" si="0"/>
        <v/>
      </c>
      <c r="P4" s="55"/>
    </row>
    <row r="5" spans="1:16" x14ac:dyDescent="0.3">
      <c r="A5" s="39"/>
      <c r="B5" s="40"/>
      <c r="C5" s="40"/>
      <c r="D5" s="40"/>
      <c r="E5" s="41"/>
      <c r="F5" s="41"/>
      <c r="G5" s="41"/>
      <c r="H5" s="41"/>
      <c r="I5" s="41"/>
      <c r="J5" s="41"/>
      <c r="K5" s="41"/>
      <c r="L5" s="2" t="str">
        <f t="shared" si="0"/>
        <v/>
      </c>
      <c r="P5" s="55"/>
    </row>
    <row r="6" spans="1:16" x14ac:dyDescent="0.3">
      <c r="A6" s="39"/>
      <c r="B6" s="40"/>
      <c r="C6" s="40"/>
      <c r="D6" s="40"/>
      <c r="E6" s="41"/>
      <c r="F6" s="41"/>
      <c r="G6" s="41"/>
      <c r="H6" s="41"/>
      <c r="I6" s="41"/>
      <c r="J6" s="41"/>
      <c r="K6" s="41"/>
      <c r="L6" s="2" t="str">
        <f t="shared" si="0"/>
        <v/>
      </c>
      <c r="P6" s="55"/>
    </row>
    <row r="7" spans="1:16" x14ac:dyDescent="0.3">
      <c r="A7" s="39"/>
      <c r="B7" s="40"/>
      <c r="C7" s="40"/>
      <c r="D7" s="40"/>
      <c r="E7" s="41"/>
      <c r="F7" s="41"/>
      <c r="G7" s="41"/>
      <c r="H7" s="41"/>
      <c r="I7" s="41"/>
      <c r="J7" s="41"/>
      <c r="K7" s="41"/>
      <c r="L7" s="2" t="str">
        <f t="shared" si="0"/>
        <v/>
      </c>
      <c r="P7" s="55"/>
    </row>
    <row r="8" spans="1:16" x14ac:dyDescent="0.3">
      <c r="A8" s="39"/>
      <c r="B8" s="40"/>
      <c r="C8" s="40"/>
      <c r="D8" s="40"/>
      <c r="E8" s="41"/>
      <c r="F8" s="41"/>
      <c r="G8" s="41"/>
      <c r="H8" s="41"/>
      <c r="I8" s="41"/>
      <c r="J8" s="41"/>
      <c r="K8" s="41"/>
      <c r="L8" s="2" t="str">
        <f t="shared" si="0"/>
        <v/>
      </c>
      <c r="P8" s="55"/>
    </row>
    <row r="9" spans="1:16" x14ac:dyDescent="0.3">
      <c r="A9" s="39"/>
      <c r="B9" s="40"/>
      <c r="C9" s="40"/>
      <c r="D9" s="40"/>
      <c r="E9" s="41"/>
      <c r="F9" s="41"/>
      <c r="G9" s="41"/>
      <c r="H9" s="41"/>
      <c r="I9" s="41"/>
      <c r="J9" s="41"/>
      <c r="K9" s="41"/>
      <c r="L9" s="2" t="str">
        <f t="shared" si="0"/>
        <v/>
      </c>
      <c r="P9" s="55"/>
    </row>
    <row r="10" spans="1:16" x14ac:dyDescent="0.3">
      <c r="A10" s="39"/>
      <c r="B10" s="40"/>
      <c r="C10" s="40"/>
      <c r="D10" s="40"/>
      <c r="E10" s="41"/>
      <c r="F10" s="41"/>
      <c r="G10" s="41"/>
      <c r="H10" s="41"/>
      <c r="I10" s="41"/>
      <c r="J10" s="41"/>
      <c r="K10" s="41"/>
      <c r="L10" s="2" t="str">
        <f t="shared" si="0"/>
        <v/>
      </c>
      <c r="P10" s="55"/>
    </row>
    <row r="11" spans="1:16" x14ac:dyDescent="0.3">
      <c r="A11" s="39"/>
      <c r="B11" s="40"/>
      <c r="C11" s="40"/>
      <c r="D11" s="40"/>
      <c r="E11" s="41"/>
      <c r="F11" s="41"/>
      <c r="G11" s="41"/>
      <c r="H11" s="41"/>
      <c r="I11" s="41"/>
      <c r="J11" s="41"/>
      <c r="K11" s="41"/>
      <c r="L11" s="2" t="str">
        <f t="shared" si="0"/>
        <v/>
      </c>
      <c r="P11" s="55"/>
    </row>
    <row r="12" spans="1:16" x14ac:dyDescent="0.3">
      <c r="A12" s="39"/>
      <c r="B12" s="40"/>
      <c r="C12" s="40"/>
      <c r="D12" s="40"/>
      <c r="E12" s="41"/>
      <c r="F12" s="41"/>
      <c r="G12" s="41"/>
      <c r="H12" s="41"/>
      <c r="I12" s="41"/>
      <c r="J12" s="41"/>
      <c r="K12" s="41"/>
      <c r="L12" s="2" t="str">
        <f t="shared" si="0"/>
        <v/>
      </c>
      <c r="P12" s="55"/>
    </row>
    <row r="13" spans="1:16" x14ac:dyDescent="0.3">
      <c r="A13" s="39"/>
      <c r="B13" s="40"/>
      <c r="C13" s="40"/>
      <c r="D13" s="40"/>
      <c r="E13" s="41"/>
      <c r="F13" s="41"/>
      <c r="G13" s="41"/>
      <c r="H13" s="41"/>
      <c r="I13" s="41"/>
      <c r="J13" s="41"/>
      <c r="K13" s="41"/>
      <c r="L13" s="2" t="str">
        <f t="shared" si="0"/>
        <v/>
      </c>
      <c r="P13" s="55"/>
    </row>
    <row r="14" spans="1:16" x14ac:dyDescent="0.3">
      <c r="A14" s="39"/>
      <c r="B14" s="40"/>
      <c r="C14" s="40"/>
      <c r="D14" s="40"/>
      <c r="E14" s="41"/>
      <c r="F14" s="41"/>
      <c r="G14" s="41"/>
      <c r="H14" s="41"/>
      <c r="I14" s="41"/>
      <c r="J14" s="41"/>
      <c r="K14" s="41"/>
      <c r="L14" s="2" t="str">
        <f t="shared" si="0"/>
        <v/>
      </c>
      <c r="P14" s="55"/>
    </row>
    <row r="15" spans="1:16" x14ac:dyDescent="0.3">
      <c r="A15" s="39"/>
      <c r="B15" s="40"/>
      <c r="C15" s="40"/>
      <c r="D15" s="40"/>
      <c r="E15" s="41"/>
      <c r="F15" s="41"/>
      <c r="G15" s="41"/>
      <c r="H15" s="41"/>
      <c r="I15" s="41"/>
      <c r="J15" s="41"/>
      <c r="K15" s="41"/>
      <c r="L15" s="2" t="str">
        <f t="shared" si="0"/>
        <v/>
      </c>
      <c r="P15" s="55"/>
    </row>
    <row r="16" spans="1:16" x14ac:dyDescent="0.3">
      <c r="A16" s="39"/>
      <c r="B16" s="40"/>
      <c r="C16" s="40"/>
      <c r="D16" s="40"/>
      <c r="E16" s="41"/>
      <c r="F16" s="41"/>
      <c r="G16" s="41"/>
      <c r="H16" s="41"/>
      <c r="I16" s="41"/>
      <c r="J16" s="41"/>
      <c r="K16" s="41"/>
      <c r="L16" s="2" t="str">
        <f t="shared" si="0"/>
        <v/>
      </c>
      <c r="P16" s="55"/>
    </row>
    <row r="17" spans="1:16" x14ac:dyDescent="0.3">
      <c r="A17" s="39"/>
      <c r="B17" s="40"/>
      <c r="C17" s="40"/>
      <c r="D17" s="40"/>
      <c r="E17" s="41"/>
      <c r="F17" s="41"/>
      <c r="G17" s="41"/>
      <c r="H17" s="41"/>
      <c r="I17" s="41"/>
      <c r="J17" s="41"/>
      <c r="K17" s="41"/>
      <c r="L17" s="2" t="str">
        <f t="shared" si="0"/>
        <v/>
      </c>
      <c r="P17" s="55"/>
    </row>
    <row r="18" spans="1:16" x14ac:dyDescent="0.3">
      <c r="A18" s="39"/>
      <c r="B18" s="40"/>
      <c r="C18" s="40"/>
      <c r="D18" s="40"/>
      <c r="E18" s="41"/>
      <c r="F18" s="41"/>
      <c r="G18" s="41"/>
      <c r="H18" s="41"/>
      <c r="I18" s="41"/>
      <c r="J18" s="41"/>
      <c r="K18" s="41"/>
      <c r="L18" s="2" t="str">
        <f t="shared" si="0"/>
        <v/>
      </c>
      <c r="P18" s="55"/>
    </row>
    <row r="19" spans="1:16" x14ac:dyDescent="0.3">
      <c r="A19" s="39"/>
      <c r="B19" s="40"/>
      <c r="C19" s="40"/>
      <c r="D19" s="40"/>
      <c r="E19" s="41"/>
      <c r="F19" s="41"/>
      <c r="G19" s="41"/>
      <c r="H19" s="41"/>
      <c r="I19" s="41"/>
      <c r="J19" s="41"/>
      <c r="K19" s="41"/>
      <c r="L19" s="2" t="str">
        <f t="shared" si="0"/>
        <v/>
      </c>
      <c r="P19" s="55"/>
    </row>
    <row r="20" spans="1:16" x14ac:dyDescent="0.3">
      <c r="A20" s="39"/>
      <c r="B20" s="40"/>
      <c r="C20" s="40"/>
      <c r="D20" s="40"/>
      <c r="E20" s="41"/>
      <c r="F20" s="41"/>
      <c r="G20" s="41"/>
      <c r="H20" s="41"/>
      <c r="I20" s="41"/>
      <c r="J20" s="41"/>
      <c r="K20" s="41"/>
      <c r="L20" s="2" t="str">
        <f t="shared" si="0"/>
        <v/>
      </c>
      <c r="P20" s="55"/>
    </row>
    <row r="21" spans="1:16" x14ac:dyDescent="0.3">
      <c r="A21" s="39"/>
      <c r="B21" s="40"/>
      <c r="C21" s="40"/>
      <c r="D21" s="40"/>
      <c r="E21" s="41"/>
      <c r="F21" s="41"/>
      <c r="G21" s="41"/>
      <c r="H21" s="41"/>
      <c r="I21" s="41"/>
      <c r="J21" s="41"/>
      <c r="K21" s="41"/>
      <c r="L21" s="2" t="str">
        <f t="shared" si="0"/>
        <v/>
      </c>
      <c r="P21" s="55"/>
    </row>
    <row r="22" spans="1:16" x14ac:dyDescent="0.3">
      <c r="A22" s="39"/>
      <c r="B22" s="40"/>
      <c r="C22" s="40"/>
      <c r="D22" s="40"/>
      <c r="E22" s="41"/>
      <c r="F22" s="41"/>
      <c r="G22" s="41"/>
      <c r="H22" s="41"/>
      <c r="I22" s="41"/>
      <c r="J22" s="41"/>
      <c r="K22" s="41"/>
      <c r="L22" s="2" t="str">
        <f t="shared" si="0"/>
        <v/>
      </c>
      <c r="P22" s="55"/>
    </row>
    <row r="23" spans="1:16" x14ac:dyDescent="0.3">
      <c r="A23" s="39"/>
      <c r="B23" s="40"/>
      <c r="C23" s="40"/>
      <c r="D23" s="40"/>
      <c r="E23" s="41"/>
      <c r="F23" s="41"/>
      <c r="G23" s="41"/>
      <c r="H23" s="41"/>
      <c r="I23" s="41"/>
      <c r="J23" s="41"/>
      <c r="K23" s="41"/>
      <c r="L23" s="2" t="str">
        <f t="shared" si="0"/>
        <v/>
      </c>
      <c r="P23" s="55"/>
    </row>
    <row r="24" spans="1:16" x14ac:dyDescent="0.3">
      <c r="A24" s="39"/>
      <c r="B24" s="40"/>
      <c r="C24" s="40"/>
      <c r="D24" s="40"/>
      <c r="E24" s="41"/>
      <c r="F24" s="41"/>
      <c r="G24" s="41"/>
      <c r="H24" s="41"/>
      <c r="I24" s="41"/>
      <c r="J24" s="41"/>
      <c r="K24" s="41"/>
      <c r="L24" s="2" t="str">
        <f t="shared" si="0"/>
        <v/>
      </c>
      <c r="P24" s="55"/>
    </row>
    <row r="25" spans="1:16" x14ac:dyDescent="0.3">
      <c r="A25" s="39"/>
      <c r="B25" s="40"/>
      <c r="C25" s="40"/>
      <c r="D25" s="40"/>
      <c r="E25" s="41"/>
      <c r="F25" s="41"/>
      <c r="G25" s="41"/>
      <c r="H25" s="41"/>
      <c r="I25" s="41"/>
      <c r="J25" s="41"/>
      <c r="K25" s="41"/>
      <c r="L25" s="2" t="str">
        <f t="shared" si="0"/>
        <v/>
      </c>
      <c r="P25" s="55"/>
    </row>
    <row r="26" spans="1:16" x14ac:dyDescent="0.3">
      <c r="A26" s="39"/>
      <c r="B26" s="40"/>
      <c r="C26" s="40"/>
      <c r="D26" s="40"/>
      <c r="E26" s="41"/>
      <c r="F26" s="41"/>
      <c r="G26" s="41"/>
      <c r="H26" s="41"/>
      <c r="I26" s="41"/>
      <c r="J26" s="41"/>
      <c r="K26" s="41"/>
      <c r="L26" s="2" t="str">
        <f t="shared" si="0"/>
        <v/>
      </c>
      <c r="P26" s="55"/>
    </row>
    <row r="27" spans="1:16" x14ac:dyDescent="0.3">
      <c r="A27" s="39"/>
      <c r="B27" s="40"/>
      <c r="C27" s="40"/>
      <c r="D27" s="40"/>
      <c r="E27" s="41"/>
      <c r="F27" s="41"/>
      <c r="G27" s="41"/>
      <c r="H27" s="41"/>
      <c r="I27" s="41"/>
      <c r="J27" s="41"/>
      <c r="K27" s="41"/>
      <c r="L27" s="2" t="str">
        <f t="shared" si="0"/>
        <v/>
      </c>
      <c r="P27" s="55"/>
    </row>
    <row r="28" spans="1:16" x14ac:dyDescent="0.3">
      <c r="A28" s="39"/>
      <c r="B28" s="40"/>
      <c r="C28" s="40"/>
      <c r="D28" s="40"/>
      <c r="E28" s="41"/>
      <c r="F28" s="41"/>
      <c r="G28" s="41"/>
      <c r="H28" s="41"/>
      <c r="I28" s="41"/>
      <c r="J28" s="41"/>
      <c r="K28" s="41"/>
      <c r="L28" s="2" t="str">
        <f t="shared" si="0"/>
        <v/>
      </c>
      <c r="P28" s="55"/>
    </row>
    <row r="29" spans="1:16" x14ac:dyDescent="0.3">
      <c r="A29" s="39"/>
      <c r="B29" s="40"/>
      <c r="C29" s="40"/>
      <c r="D29" s="40"/>
      <c r="E29" s="41"/>
      <c r="F29" s="41"/>
      <c r="G29" s="41"/>
      <c r="H29" s="41"/>
      <c r="I29" s="41"/>
      <c r="J29" s="41"/>
      <c r="K29" s="41"/>
      <c r="L29" s="2" t="str">
        <f t="shared" si="0"/>
        <v/>
      </c>
      <c r="P29" s="55"/>
    </row>
    <row r="30" spans="1:16" x14ac:dyDescent="0.3">
      <c r="A30" s="39"/>
      <c r="B30" s="40"/>
      <c r="C30" s="40"/>
      <c r="D30" s="40"/>
      <c r="E30" s="41"/>
      <c r="F30" s="41"/>
      <c r="G30" s="41"/>
      <c r="H30" s="41"/>
      <c r="I30" s="41"/>
      <c r="J30" s="41"/>
      <c r="K30" s="41"/>
      <c r="L30" s="2" t="str">
        <f t="shared" si="0"/>
        <v/>
      </c>
      <c r="P30" s="55"/>
    </row>
    <row r="31" spans="1:16" x14ac:dyDescent="0.3">
      <c r="A31" s="39"/>
      <c r="B31" s="40"/>
      <c r="C31" s="40"/>
      <c r="D31" s="40"/>
      <c r="E31" s="41"/>
      <c r="F31" s="41"/>
      <c r="G31" s="41"/>
      <c r="H31" s="41"/>
      <c r="I31" s="41"/>
      <c r="J31" s="41"/>
      <c r="K31" s="41"/>
      <c r="L31" s="2" t="str">
        <f t="shared" si="0"/>
        <v/>
      </c>
      <c r="P31" s="55"/>
    </row>
    <row r="32" spans="1:16" x14ac:dyDescent="0.3">
      <c r="A32" s="39"/>
      <c r="B32" s="40"/>
      <c r="C32" s="40"/>
      <c r="D32" s="40"/>
      <c r="E32" s="41"/>
      <c r="F32" s="41"/>
      <c r="G32" s="41"/>
      <c r="H32" s="41"/>
      <c r="I32" s="41"/>
      <c r="J32" s="41"/>
      <c r="K32" s="41"/>
      <c r="L32" s="2" t="str">
        <f t="shared" si="0"/>
        <v/>
      </c>
      <c r="P32" s="55"/>
    </row>
    <row r="33" spans="1:16" x14ac:dyDescent="0.3">
      <c r="A33" s="39"/>
      <c r="B33" s="40"/>
      <c r="C33" s="40"/>
      <c r="D33" s="40"/>
      <c r="E33" s="41"/>
      <c r="F33" s="41"/>
      <c r="G33" s="41"/>
      <c r="H33" s="41"/>
      <c r="I33" s="41"/>
      <c r="J33" s="41"/>
      <c r="K33" s="41"/>
      <c r="L33" s="2" t="str">
        <f t="shared" si="0"/>
        <v/>
      </c>
      <c r="P33" s="55"/>
    </row>
    <row r="34" spans="1:16" x14ac:dyDescent="0.3">
      <c r="A34" s="39"/>
      <c r="B34" s="40"/>
      <c r="C34" s="40"/>
      <c r="D34" s="40"/>
      <c r="E34" s="41"/>
      <c r="F34" s="41"/>
      <c r="G34" s="41"/>
      <c r="H34" s="41"/>
      <c r="I34" s="41"/>
      <c r="J34" s="41"/>
      <c r="K34" s="41"/>
      <c r="L34" s="2" t="str">
        <f t="shared" si="0"/>
        <v/>
      </c>
      <c r="P34" s="55"/>
    </row>
    <row r="35" spans="1:16" x14ac:dyDescent="0.3">
      <c r="A35" s="39"/>
      <c r="B35" s="40"/>
      <c r="C35" s="40"/>
      <c r="D35" s="40"/>
      <c r="E35" s="41"/>
      <c r="F35" s="41"/>
      <c r="G35" s="41"/>
      <c r="H35" s="41"/>
      <c r="I35" s="41"/>
      <c r="J35" s="41"/>
      <c r="K35" s="41"/>
      <c r="L35" s="2" t="str">
        <f t="shared" si="0"/>
        <v/>
      </c>
      <c r="P35" s="55"/>
    </row>
    <row r="36" spans="1:16" x14ac:dyDescent="0.3">
      <c r="A36" s="39"/>
      <c r="B36" s="40"/>
      <c r="C36" s="40"/>
      <c r="D36" s="40"/>
      <c r="E36" s="41"/>
      <c r="F36" s="41"/>
      <c r="G36" s="41"/>
      <c r="H36" s="41"/>
      <c r="I36" s="41"/>
      <c r="J36" s="41"/>
      <c r="K36" s="41"/>
      <c r="L36" s="2" t="str">
        <f t="shared" si="0"/>
        <v/>
      </c>
      <c r="P36" s="55"/>
    </row>
    <row r="37" spans="1:16" x14ac:dyDescent="0.3">
      <c r="A37" s="39"/>
      <c r="B37" s="40"/>
      <c r="C37" s="40"/>
      <c r="D37" s="40"/>
      <c r="E37" s="41"/>
      <c r="F37" s="41"/>
      <c r="G37" s="41"/>
      <c r="H37" s="41"/>
      <c r="I37" s="41"/>
      <c r="J37" s="41"/>
      <c r="K37" s="41"/>
      <c r="L37" s="2" t="str">
        <f t="shared" si="0"/>
        <v/>
      </c>
      <c r="P37" s="55"/>
    </row>
    <row r="38" spans="1:16" x14ac:dyDescent="0.3">
      <c r="A38" s="39"/>
      <c r="B38" s="40"/>
      <c r="C38" s="40"/>
      <c r="D38" s="40"/>
      <c r="E38" s="41"/>
      <c r="F38" s="41"/>
      <c r="G38" s="41"/>
      <c r="H38" s="41"/>
      <c r="I38" s="41"/>
      <c r="J38" s="41"/>
      <c r="K38" s="41"/>
      <c r="L38" s="2" t="str">
        <f t="shared" si="0"/>
        <v/>
      </c>
      <c r="P38" s="55"/>
    </row>
    <row r="39" spans="1:16" x14ac:dyDescent="0.3">
      <c r="A39" s="39"/>
      <c r="B39" s="40"/>
      <c r="C39" s="40"/>
      <c r="D39" s="40"/>
      <c r="E39" s="41"/>
      <c r="F39" s="41"/>
      <c r="G39" s="41"/>
      <c r="H39" s="41"/>
      <c r="I39" s="41"/>
      <c r="J39" s="41"/>
      <c r="K39" s="41"/>
      <c r="L39" s="2" t="str">
        <f t="shared" si="0"/>
        <v/>
      </c>
      <c r="P39" s="55"/>
    </row>
    <row r="40" spans="1:16" x14ac:dyDescent="0.3">
      <c r="A40" s="39"/>
      <c r="B40" s="40"/>
      <c r="C40" s="40"/>
      <c r="D40" s="40"/>
      <c r="E40" s="41"/>
      <c r="F40" s="41"/>
      <c r="G40" s="41"/>
      <c r="H40" s="41"/>
      <c r="I40" s="41"/>
      <c r="J40" s="41"/>
      <c r="K40" s="41"/>
      <c r="L40" s="2" t="str">
        <f t="shared" si="0"/>
        <v/>
      </c>
      <c r="P40" s="55"/>
    </row>
    <row r="41" spans="1:16" x14ac:dyDescent="0.3">
      <c r="A41" s="39"/>
      <c r="B41" s="40"/>
      <c r="C41" s="40"/>
      <c r="D41" s="40"/>
      <c r="E41" s="41"/>
      <c r="F41" s="41"/>
      <c r="G41" s="41"/>
      <c r="H41" s="41"/>
      <c r="I41" s="41"/>
      <c r="J41" s="41"/>
      <c r="K41" s="41"/>
      <c r="L41" s="2" t="str">
        <f t="shared" si="0"/>
        <v/>
      </c>
      <c r="P41" s="55"/>
    </row>
    <row r="42" spans="1:16" x14ac:dyDescent="0.3">
      <c r="A42" s="39"/>
      <c r="B42" s="40"/>
      <c r="C42" s="40"/>
      <c r="D42" s="40"/>
      <c r="E42" s="41"/>
      <c r="F42" s="41"/>
      <c r="G42" s="41"/>
      <c r="H42" s="41"/>
      <c r="I42" s="41"/>
      <c r="J42" s="41"/>
      <c r="K42" s="41"/>
      <c r="L42" s="2" t="str">
        <f t="shared" si="0"/>
        <v/>
      </c>
      <c r="P42" s="55"/>
    </row>
    <row r="43" spans="1:16" x14ac:dyDescent="0.3">
      <c r="A43" s="39"/>
      <c r="B43" s="40"/>
      <c r="C43" s="40"/>
      <c r="D43" s="40"/>
      <c r="E43" s="41"/>
      <c r="F43" s="41"/>
      <c r="G43" s="41"/>
      <c r="H43" s="41"/>
      <c r="I43" s="41"/>
      <c r="J43" s="41"/>
      <c r="K43" s="41"/>
      <c r="L43" s="2" t="str">
        <f t="shared" si="0"/>
        <v/>
      </c>
      <c r="P43" s="55"/>
    </row>
    <row r="44" spans="1:16" x14ac:dyDescent="0.3">
      <c r="A44" s="39"/>
      <c r="B44" s="40"/>
      <c r="C44" s="40"/>
      <c r="D44" s="40"/>
      <c r="E44" s="41"/>
      <c r="F44" s="41"/>
      <c r="G44" s="41"/>
      <c r="H44" s="41"/>
      <c r="I44" s="41"/>
      <c r="J44" s="41"/>
      <c r="K44" s="41"/>
      <c r="L44" s="2" t="str">
        <f t="shared" si="0"/>
        <v/>
      </c>
      <c r="P44" s="55"/>
    </row>
    <row r="45" spans="1:16" x14ac:dyDescent="0.3">
      <c r="A45" s="39"/>
      <c r="B45" s="40"/>
      <c r="C45" s="40"/>
      <c r="D45" s="40"/>
      <c r="E45" s="41"/>
      <c r="F45" s="41"/>
      <c r="G45" s="41"/>
      <c r="H45" s="41"/>
      <c r="I45" s="41"/>
      <c r="J45" s="41"/>
      <c r="K45" s="41"/>
      <c r="L45" s="2" t="str">
        <f t="shared" si="0"/>
        <v/>
      </c>
      <c r="P45" s="55"/>
    </row>
    <row r="46" spans="1:16" x14ac:dyDescent="0.3">
      <c r="A46" s="39"/>
      <c r="B46" s="40"/>
      <c r="C46" s="40"/>
      <c r="D46" s="40"/>
      <c r="E46" s="41"/>
      <c r="F46" s="41"/>
      <c r="G46" s="41"/>
      <c r="H46" s="41"/>
      <c r="I46" s="41"/>
      <c r="J46" s="41"/>
      <c r="K46" s="41"/>
      <c r="L46" s="2" t="str">
        <f t="shared" si="0"/>
        <v/>
      </c>
      <c r="P46" s="55"/>
    </row>
    <row r="47" spans="1:16" x14ac:dyDescent="0.3">
      <c r="A47" s="39"/>
      <c r="B47" s="40"/>
      <c r="C47" s="40"/>
      <c r="D47" s="40"/>
      <c r="E47" s="41"/>
      <c r="F47" s="41"/>
      <c r="G47" s="41"/>
      <c r="H47" s="41"/>
      <c r="I47" s="41"/>
      <c r="J47" s="41"/>
      <c r="K47" s="41"/>
      <c r="L47" s="2" t="str">
        <f t="shared" si="0"/>
        <v/>
      </c>
      <c r="P47" s="55"/>
    </row>
    <row r="48" spans="1:16" x14ac:dyDescent="0.3">
      <c r="A48" s="39"/>
      <c r="B48" s="40"/>
      <c r="C48" s="40"/>
      <c r="D48" s="40"/>
      <c r="E48" s="41"/>
      <c r="F48" s="41"/>
      <c r="G48" s="41"/>
      <c r="H48" s="41"/>
      <c r="I48" s="41"/>
      <c r="J48" s="41"/>
      <c r="K48" s="41"/>
      <c r="L48" s="2" t="str">
        <f t="shared" si="0"/>
        <v/>
      </c>
      <c r="P48" s="55"/>
    </row>
    <row r="49" spans="1:16" x14ac:dyDescent="0.3">
      <c r="A49" s="39"/>
      <c r="B49" s="40"/>
      <c r="C49" s="40"/>
      <c r="D49" s="40"/>
      <c r="E49" s="41"/>
      <c r="F49" s="41"/>
      <c r="G49" s="41"/>
      <c r="H49" s="41"/>
      <c r="I49" s="41"/>
      <c r="J49" s="41"/>
      <c r="K49" s="41"/>
      <c r="L49" s="2" t="str">
        <f t="shared" si="0"/>
        <v/>
      </c>
      <c r="P49" s="55"/>
    </row>
    <row r="50" spans="1:16" x14ac:dyDescent="0.3">
      <c r="A50" s="39"/>
      <c r="B50" s="40"/>
      <c r="C50" s="40"/>
      <c r="D50" s="40"/>
      <c r="E50" s="41"/>
      <c r="F50" s="41"/>
      <c r="G50" s="41"/>
      <c r="H50" s="41"/>
      <c r="I50" s="41"/>
      <c r="J50" s="41"/>
      <c r="K50" s="41"/>
      <c r="L50" s="2" t="str">
        <f t="shared" si="0"/>
        <v/>
      </c>
      <c r="P50" s="55"/>
    </row>
    <row r="51" spans="1:16" x14ac:dyDescent="0.3">
      <c r="A51" s="39"/>
      <c r="B51" s="40"/>
      <c r="C51" s="40"/>
      <c r="D51" s="40"/>
      <c r="E51" s="41"/>
      <c r="F51" s="41"/>
      <c r="G51" s="41"/>
      <c r="H51" s="41"/>
      <c r="I51" s="41"/>
      <c r="J51" s="41"/>
      <c r="K51" s="41"/>
      <c r="L51" s="2" t="str">
        <f t="shared" si="0"/>
        <v/>
      </c>
      <c r="P51" s="55"/>
    </row>
    <row r="52" spans="1:16" x14ac:dyDescent="0.3">
      <c r="A52" s="39"/>
      <c r="B52" s="40"/>
      <c r="C52" s="40"/>
      <c r="D52" s="40"/>
      <c r="E52" s="41"/>
      <c r="F52" s="41"/>
      <c r="G52" s="41"/>
      <c r="H52" s="41"/>
      <c r="I52" s="41"/>
      <c r="J52" s="41"/>
      <c r="K52" s="41"/>
      <c r="L52" s="2" t="str">
        <f t="shared" si="0"/>
        <v/>
      </c>
      <c r="P52" s="55"/>
    </row>
    <row r="53" spans="1:16" x14ac:dyDescent="0.3">
      <c r="A53" s="39"/>
      <c r="B53" s="40"/>
      <c r="C53" s="40"/>
      <c r="D53" s="40"/>
      <c r="E53" s="41"/>
      <c r="F53" s="41"/>
      <c r="G53" s="41"/>
      <c r="H53" s="41"/>
      <c r="I53" s="41"/>
      <c r="J53" s="41"/>
      <c r="K53" s="41"/>
      <c r="L53" s="2" t="str">
        <f t="shared" si="0"/>
        <v/>
      </c>
      <c r="P53" s="55"/>
    </row>
    <row r="54" spans="1:16" x14ac:dyDescent="0.3">
      <c r="A54" s="39"/>
      <c r="B54" s="40"/>
      <c r="C54" s="40"/>
      <c r="D54" s="40"/>
      <c r="E54" s="41"/>
      <c r="F54" s="41"/>
      <c r="G54" s="41"/>
      <c r="H54" s="41"/>
      <c r="I54" s="41"/>
      <c r="J54" s="41"/>
      <c r="K54" s="41"/>
      <c r="L54" s="2" t="str">
        <f t="shared" si="0"/>
        <v/>
      </c>
      <c r="P54" s="55"/>
    </row>
    <row r="55" spans="1:16" x14ac:dyDescent="0.3">
      <c r="A55" s="39"/>
      <c r="B55" s="40"/>
      <c r="C55" s="40"/>
      <c r="D55" s="40"/>
      <c r="E55" s="41"/>
      <c r="F55" s="41"/>
      <c r="G55" s="41"/>
      <c r="H55" s="41"/>
      <c r="I55" s="41"/>
      <c r="J55" s="41"/>
      <c r="K55" s="41"/>
      <c r="L55" s="2" t="str">
        <f t="shared" si="0"/>
        <v/>
      </c>
      <c r="P55" s="55"/>
    </row>
    <row r="56" spans="1:16" x14ac:dyDescent="0.3">
      <c r="A56" s="39"/>
      <c r="B56" s="40"/>
      <c r="C56" s="40"/>
      <c r="D56" s="40"/>
      <c r="E56" s="41"/>
      <c r="F56" s="41"/>
      <c r="G56" s="41"/>
      <c r="H56" s="41"/>
      <c r="I56" s="41"/>
      <c r="J56" s="41"/>
      <c r="K56" s="41"/>
      <c r="L56" s="2" t="str">
        <f t="shared" si="0"/>
        <v/>
      </c>
      <c r="P56" s="55"/>
    </row>
    <row r="57" spans="1:16" x14ac:dyDescent="0.3">
      <c r="A57" s="39"/>
      <c r="B57" s="40"/>
      <c r="C57" s="40"/>
      <c r="D57" s="40"/>
      <c r="E57" s="41"/>
      <c r="F57" s="41"/>
      <c r="G57" s="41"/>
      <c r="H57" s="41"/>
      <c r="I57" s="41"/>
      <c r="J57" s="41"/>
      <c r="K57" s="41"/>
      <c r="L57" s="2" t="str">
        <f t="shared" si="0"/>
        <v/>
      </c>
      <c r="P57" s="55"/>
    </row>
    <row r="58" spans="1:16" x14ac:dyDescent="0.3">
      <c r="A58" s="39"/>
      <c r="B58" s="40"/>
      <c r="C58" s="40"/>
      <c r="D58" s="40"/>
      <c r="E58" s="41"/>
      <c r="F58" s="41"/>
      <c r="G58" s="41"/>
      <c r="H58" s="41"/>
      <c r="I58" s="41"/>
      <c r="J58" s="41"/>
      <c r="K58" s="41"/>
      <c r="L58" s="2" t="str">
        <f t="shared" si="0"/>
        <v/>
      </c>
      <c r="P58" s="55"/>
    </row>
    <row r="59" spans="1:16" x14ac:dyDescent="0.3">
      <c r="A59" s="39"/>
      <c r="B59" s="40"/>
      <c r="C59" s="40"/>
      <c r="D59" s="40"/>
      <c r="E59" s="41"/>
      <c r="F59" s="41"/>
      <c r="G59" s="41"/>
      <c r="H59" s="41"/>
      <c r="I59" s="41"/>
      <c r="J59" s="41"/>
      <c r="K59" s="41"/>
      <c r="L59" s="2" t="str">
        <f t="shared" si="0"/>
        <v/>
      </c>
      <c r="P59" s="55"/>
    </row>
    <row r="60" spans="1:16" x14ac:dyDescent="0.3">
      <c r="A60" s="39"/>
      <c r="B60" s="40"/>
      <c r="C60" s="40"/>
      <c r="D60" s="40"/>
      <c r="E60" s="41"/>
      <c r="F60" s="41"/>
      <c r="G60" s="41"/>
      <c r="H60" s="41"/>
      <c r="I60" s="41"/>
      <c r="J60" s="41"/>
      <c r="K60" s="41"/>
      <c r="L60" s="2" t="str">
        <f t="shared" si="0"/>
        <v/>
      </c>
      <c r="P60" s="55"/>
    </row>
    <row r="61" spans="1:16" x14ac:dyDescent="0.3">
      <c r="A61" s="39"/>
      <c r="B61" s="40"/>
      <c r="C61" s="40"/>
      <c r="D61" s="40"/>
      <c r="E61" s="41"/>
      <c r="F61" s="41"/>
      <c r="G61" s="41"/>
      <c r="H61" s="41"/>
      <c r="I61" s="41"/>
      <c r="J61" s="41"/>
      <c r="K61" s="41"/>
      <c r="L61" s="2" t="str">
        <f t="shared" si="0"/>
        <v/>
      </c>
      <c r="P61" s="55"/>
    </row>
    <row r="62" spans="1:16" x14ac:dyDescent="0.3">
      <c r="A62" s="39"/>
      <c r="B62" s="40"/>
      <c r="C62" s="40"/>
      <c r="D62" s="40"/>
      <c r="E62" s="41"/>
      <c r="F62" s="41"/>
      <c r="G62" s="41"/>
      <c r="H62" s="41"/>
      <c r="I62" s="41"/>
      <c r="J62" s="41"/>
      <c r="K62" s="41"/>
      <c r="L62" s="2" t="str">
        <f t="shared" si="0"/>
        <v/>
      </c>
      <c r="P62" s="55"/>
    </row>
    <row r="63" spans="1:16" x14ac:dyDescent="0.3">
      <c r="A63" s="39"/>
      <c r="B63" s="40"/>
      <c r="C63" s="40"/>
      <c r="D63" s="40"/>
      <c r="E63" s="41"/>
      <c r="F63" s="41"/>
      <c r="G63" s="41"/>
      <c r="H63" s="41"/>
      <c r="I63" s="41"/>
      <c r="J63" s="41"/>
      <c r="K63" s="41"/>
      <c r="L63" s="2" t="str">
        <f t="shared" si="0"/>
        <v/>
      </c>
      <c r="P63" s="55"/>
    </row>
    <row r="64" spans="1:16" x14ac:dyDescent="0.3">
      <c r="A64" s="39"/>
      <c r="B64" s="40"/>
      <c r="C64" s="40"/>
      <c r="D64" s="41"/>
      <c r="E64" s="41"/>
      <c r="F64" s="41"/>
      <c r="G64" s="41"/>
      <c r="H64" s="41"/>
      <c r="I64" s="41"/>
      <c r="J64" s="41"/>
      <c r="K64" s="41"/>
      <c r="L64" s="2" t="str">
        <f t="shared" ref="L64:L97" si="1">IF(LEN(K64)&gt;0,120-LEN(K64),"")</f>
        <v/>
      </c>
      <c r="P64" s="55"/>
    </row>
    <row r="65" spans="1:16" x14ac:dyDescent="0.3">
      <c r="A65" s="39"/>
      <c r="B65" s="40"/>
      <c r="C65" s="40"/>
      <c r="D65" s="41"/>
      <c r="E65" s="41"/>
      <c r="F65" s="41"/>
      <c r="G65" s="41"/>
      <c r="H65" s="41"/>
      <c r="I65" s="41"/>
      <c r="J65" s="41"/>
      <c r="K65" s="41"/>
      <c r="L65" s="2" t="str">
        <f t="shared" si="1"/>
        <v/>
      </c>
      <c r="P65" s="55"/>
    </row>
    <row r="66" spans="1:16" x14ac:dyDescent="0.3">
      <c r="A66" s="39"/>
      <c r="B66" s="40"/>
      <c r="C66" s="40"/>
      <c r="D66" s="41"/>
      <c r="E66" s="41"/>
      <c r="F66" s="41"/>
      <c r="G66" s="41"/>
      <c r="H66" s="41"/>
      <c r="I66" s="41"/>
      <c r="J66" s="41"/>
      <c r="K66" s="41"/>
      <c r="L66" s="2" t="str">
        <f t="shared" si="1"/>
        <v/>
      </c>
      <c r="P66" s="55"/>
    </row>
    <row r="67" spans="1:16" x14ac:dyDescent="0.3">
      <c r="A67" s="39"/>
      <c r="B67" s="40"/>
      <c r="C67" s="40"/>
      <c r="D67" s="41"/>
      <c r="E67" s="41"/>
      <c r="F67" s="41"/>
      <c r="G67" s="41"/>
      <c r="H67" s="41"/>
      <c r="I67" s="41"/>
      <c r="J67" s="41"/>
      <c r="K67" s="41"/>
      <c r="L67" s="2" t="str">
        <f t="shared" si="1"/>
        <v/>
      </c>
      <c r="P67" s="55"/>
    </row>
    <row r="68" spans="1:16" x14ac:dyDescent="0.3">
      <c r="A68" s="39"/>
      <c r="B68" s="40"/>
      <c r="C68" s="40"/>
      <c r="D68" s="41"/>
      <c r="E68" s="41"/>
      <c r="F68" s="41"/>
      <c r="G68" s="41"/>
      <c r="H68" s="41"/>
      <c r="I68" s="41"/>
      <c r="J68" s="41"/>
      <c r="K68" s="41"/>
      <c r="L68" s="2" t="str">
        <f t="shared" si="1"/>
        <v/>
      </c>
      <c r="P68" s="55"/>
    </row>
    <row r="69" spans="1:16" x14ac:dyDescent="0.3">
      <c r="A69" s="39"/>
      <c r="B69" s="40"/>
      <c r="C69" s="40"/>
      <c r="D69" s="41"/>
      <c r="E69" s="41"/>
      <c r="F69" s="41"/>
      <c r="G69" s="41"/>
      <c r="H69" s="41"/>
      <c r="I69" s="41"/>
      <c r="J69" s="41"/>
      <c r="K69" s="41"/>
      <c r="L69" s="2" t="str">
        <f t="shared" si="1"/>
        <v/>
      </c>
      <c r="P69" s="55"/>
    </row>
    <row r="70" spans="1:16" x14ac:dyDescent="0.3">
      <c r="A70" s="39"/>
      <c r="B70" s="40"/>
      <c r="C70" s="40"/>
      <c r="D70" s="41"/>
      <c r="E70" s="41"/>
      <c r="F70" s="41"/>
      <c r="G70" s="41"/>
      <c r="H70" s="41"/>
      <c r="I70" s="41"/>
      <c r="J70" s="41"/>
      <c r="K70" s="41"/>
      <c r="L70" s="2" t="str">
        <f t="shared" si="1"/>
        <v/>
      </c>
      <c r="P70" s="55"/>
    </row>
    <row r="71" spans="1:16" x14ac:dyDescent="0.3">
      <c r="A71" s="39"/>
      <c r="B71" s="40"/>
      <c r="C71" s="40"/>
      <c r="D71" s="41"/>
      <c r="E71" s="41"/>
      <c r="F71" s="41"/>
      <c r="G71" s="41"/>
      <c r="H71" s="41"/>
      <c r="I71" s="41"/>
      <c r="J71" s="41"/>
      <c r="K71" s="41"/>
      <c r="L71" s="2" t="str">
        <f t="shared" si="1"/>
        <v/>
      </c>
      <c r="P71" s="55"/>
    </row>
    <row r="72" spans="1:16" x14ac:dyDescent="0.3">
      <c r="A72" s="39"/>
      <c r="B72" s="40"/>
      <c r="C72" s="40"/>
      <c r="D72" s="41"/>
      <c r="E72" s="41"/>
      <c r="F72" s="41"/>
      <c r="G72" s="41"/>
      <c r="H72" s="41"/>
      <c r="I72" s="41"/>
      <c r="J72" s="41"/>
      <c r="K72" s="41"/>
      <c r="L72" s="2" t="str">
        <f t="shared" si="1"/>
        <v/>
      </c>
      <c r="P72" s="55"/>
    </row>
    <row r="73" spans="1:16" x14ac:dyDescent="0.3">
      <c r="A73" s="39"/>
      <c r="B73" s="40"/>
      <c r="C73" s="40"/>
      <c r="D73" s="41"/>
      <c r="E73" s="41"/>
      <c r="F73" s="41"/>
      <c r="G73" s="41"/>
      <c r="H73" s="41"/>
      <c r="I73" s="41"/>
      <c r="J73" s="41"/>
      <c r="K73" s="41"/>
      <c r="L73" s="2" t="str">
        <f t="shared" si="1"/>
        <v/>
      </c>
      <c r="P73" s="55"/>
    </row>
    <row r="74" spans="1:16" x14ac:dyDescent="0.3">
      <c r="A74" s="39"/>
      <c r="B74" s="40"/>
      <c r="C74" s="40"/>
      <c r="D74" s="41"/>
      <c r="E74" s="41"/>
      <c r="F74" s="41"/>
      <c r="G74" s="41"/>
      <c r="H74" s="41"/>
      <c r="I74" s="41"/>
      <c r="J74" s="41"/>
      <c r="K74" s="41"/>
      <c r="L74" s="2" t="str">
        <f t="shared" si="1"/>
        <v/>
      </c>
      <c r="P74" s="55"/>
    </row>
    <row r="75" spans="1:16" x14ac:dyDescent="0.3">
      <c r="A75" s="39"/>
      <c r="B75" s="40"/>
      <c r="C75" s="40"/>
      <c r="D75" s="41"/>
      <c r="E75" s="41"/>
      <c r="F75" s="41"/>
      <c r="G75" s="41"/>
      <c r="H75" s="41"/>
      <c r="I75" s="41"/>
      <c r="J75" s="41"/>
      <c r="K75" s="41"/>
      <c r="L75" s="2" t="str">
        <f t="shared" si="1"/>
        <v/>
      </c>
      <c r="P75" s="55"/>
    </row>
    <row r="76" spans="1:16" x14ac:dyDescent="0.3">
      <c r="A76" s="39"/>
      <c r="B76" s="40"/>
      <c r="C76" s="40"/>
      <c r="D76" s="41"/>
      <c r="E76" s="41"/>
      <c r="F76" s="41"/>
      <c r="G76" s="41"/>
      <c r="H76" s="41"/>
      <c r="I76" s="41"/>
      <c r="J76" s="41"/>
      <c r="K76" s="41"/>
      <c r="L76" s="2" t="str">
        <f t="shared" si="1"/>
        <v/>
      </c>
      <c r="P76" s="55"/>
    </row>
    <row r="77" spans="1:16" x14ac:dyDescent="0.3">
      <c r="A77" s="39"/>
      <c r="B77" s="40"/>
      <c r="C77" s="40"/>
      <c r="D77" s="41"/>
      <c r="E77" s="41"/>
      <c r="F77" s="41"/>
      <c r="G77" s="41"/>
      <c r="H77" s="41"/>
      <c r="I77" s="41"/>
      <c r="J77" s="41"/>
      <c r="K77" s="41"/>
      <c r="L77" s="2" t="str">
        <f t="shared" si="1"/>
        <v/>
      </c>
      <c r="P77" s="55"/>
    </row>
    <row r="78" spans="1:16" x14ac:dyDescent="0.3">
      <c r="A78" s="39"/>
      <c r="B78" s="40"/>
      <c r="C78" s="40"/>
      <c r="D78" s="41"/>
      <c r="E78" s="41"/>
      <c r="F78" s="41"/>
      <c r="G78" s="41"/>
      <c r="H78" s="41"/>
      <c r="I78" s="41"/>
      <c r="J78" s="41"/>
      <c r="K78" s="41"/>
      <c r="L78" s="2" t="str">
        <f t="shared" si="1"/>
        <v/>
      </c>
      <c r="P78" s="55"/>
    </row>
    <row r="79" spans="1:16" x14ac:dyDescent="0.3">
      <c r="A79" s="39"/>
      <c r="B79" s="40"/>
      <c r="C79" s="40"/>
      <c r="D79" s="41"/>
      <c r="E79" s="41"/>
      <c r="F79" s="41"/>
      <c r="G79" s="41"/>
      <c r="H79" s="41"/>
      <c r="I79" s="41"/>
      <c r="J79" s="41"/>
      <c r="K79" s="41"/>
      <c r="L79" s="2" t="str">
        <f t="shared" si="1"/>
        <v/>
      </c>
      <c r="P79" s="55"/>
    </row>
    <row r="80" spans="1:16" x14ac:dyDescent="0.3">
      <c r="A80" s="39"/>
      <c r="B80" s="40"/>
      <c r="C80" s="40"/>
      <c r="D80" s="41"/>
      <c r="E80" s="41"/>
      <c r="F80" s="41"/>
      <c r="G80" s="41"/>
      <c r="H80" s="41"/>
      <c r="I80" s="41"/>
      <c r="J80" s="41"/>
      <c r="K80" s="41"/>
      <c r="L80" s="2" t="str">
        <f t="shared" si="1"/>
        <v/>
      </c>
      <c r="P80" s="55"/>
    </row>
    <row r="81" spans="1:16" x14ac:dyDescent="0.3">
      <c r="A81" s="39"/>
      <c r="B81" s="40"/>
      <c r="C81" s="40"/>
      <c r="D81" s="41"/>
      <c r="E81" s="41"/>
      <c r="F81" s="41"/>
      <c r="G81" s="41"/>
      <c r="H81" s="41"/>
      <c r="I81" s="41"/>
      <c r="J81" s="41"/>
      <c r="K81" s="41"/>
      <c r="L81" s="2" t="str">
        <f t="shared" si="1"/>
        <v/>
      </c>
      <c r="P81" s="55"/>
    </row>
    <row r="82" spans="1:16" x14ac:dyDescent="0.3">
      <c r="A82" s="39"/>
      <c r="B82" s="40"/>
      <c r="C82" s="40"/>
      <c r="D82" s="41"/>
      <c r="E82" s="41"/>
      <c r="F82" s="41"/>
      <c r="G82" s="41"/>
      <c r="H82" s="41"/>
      <c r="I82" s="41"/>
      <c r="J82" s="41"/>
      <c r="K82" s="41"/>
      <c r="L82" s="2" t="str">
        <f t="shared" si="1"/>
        <v/>
      </c>
      <c r="P82" s="55"/>
    </row>
    <row r="83" spans="1:16" x14ac:dyDescent="0.3">
      <c r="A83" s="39"/>
      <c r="B83" s="40"/>
      <c r="C83" s="40"/>
      <c r="D83" s="41"/>
      <c r="E83" s="41"/>
      <c r="F83" s="41"/>
      <c r="G83" s="41"/>
      <c r="H83" s="41"/>
      <c r="I83" s="41"/>
      <c r="J83" s="41"/>
      <c r="K83" s="41"/>
      <c r="L83" s="2" t="str">
        <f t="shared" si="1"/>
        <v/>
      </c>
      <c r="P83" s="55"/>
    </row>
    <row r="84" spans="1:16" x14ac:dyDescent="0.3">
      <c r="A84" s="39"/>
      <c r="B84" s="40"/>
      <c r="C84" s="40"/>
      <c r="D84" s="41"/>
      <c r="E84" s="41"/>
      <c r="F84" s="41"/>
      <c r="G84" s="41"/>
      <c r="H84" s="41"/>
      <c r="I84" s="41"/>
      <c r="J84" s="41"/>
      <c r="K84" s="41"/>
      <c r="L84" s="2" t="str">
        <f t="shared" si="1"/>
        <v/>
      </c>
      <c r="P84" s="55"/>
    </row>
    <row r="85" spans="1:16" x14ac:dyDescent="0.3">
      <c r="A85" s="39"/>
      <c r="B85" s="40"/>
      <c r="C85" s="40"/>
      <c r="D85" s="41"/>
      <c r="E85" s="41"/>
      <c r="F85" s="41"/>
      <c r="G85" s="41"/>
      <c r="H85" s="41"/>
      <c r="I85" s="41"/>
      <c r="J85" s="41"/>
      <c r="K85" s="41"/>
      <c r="L85" s="2" t="str">
        <f t="shared" si="1"/>
        <v/>
      </c>
      <c r="P85" s="55"/>
    </row>
    <row r="86" spans="1:16" x14ac:dyDescent="0.3">
      <c r="A86" s="39"/>
      <c r="B86" s="40"/>
      <c r="C86" s="40"/>
      <c r="D86" s="41"/>
      <c r="E86" s="41"/>
      <c r="F86" s="41"/>
      <c r="G86" s="41"/>
      <c r="H86" s="41"/>
      <c r="I86" s="41"/>
      <c r="J86" s="41"/>
      <c r="K86" s="41"/>
      <c r="L86" s="2" t="str">
        <f t="shared" si="1"/>
        <v/>
      </c>
      <c r="P86" s="55"/>
    </row>
    <row r="87" spans="1:16" x14ac:dyDescent="0.3">
      <c r="A87" s="39"/>
      <c r="B87" s="40"/>
      <c r="C87" s="40"/>
      <c r="D87" s="41"/>
      <c r="E87" s="41"/>
      <c r="F87" s="41"/>
      <c r="G87" s="41"/>
      <c r="H87" s="41"/>
      <c r="I87" s="41"/>
      <c r="J87" s="41"/>
      <c r="K87" s="41"/>
      <c r="L87" s="2" t="str">
        <f t="shared" si="1"/>
        <v/>
      </c>
      <c r="P87" s="55"/>
    </row>
    <row r="88" spans="1:16" x14ac:dyDescent="0.3">
      <c r="A88" s="39"/>
      <c r="B88" s="40"/>
      <c r="C88" s="40"/>
      <c r="D88" s="41"/>
      <c r="E88" s="41"/>
      <c r="F88" s="41"/>
      <c r="G88" s="41"/>
      <c r="H88" s="41"/>
      <c r="I88" s="41"/>
      <c r="J88" s="41"/>
      <c r="K88" s="41"/>
      <c r="L88" s="2" t="str">
        <f t="shared" si="1"/>
        <v/>
      </c>
      <c r="P88" s="55"/>
    </row>
    <row r="89" spans="1:16" x14ac:dyDescent="0.3">
      <c r="A89" s="39"/>
      <c r="B89" s="40"/>
      <c r="C89" s="40"/>
      <c r="D89" s="41"/>
      <c r="E89" s="41"/>
      <c r="F89" s="41"/>
      <c r="G89" s="41"/>
      <c r="H89" s="41"/>
      <c r="I89" s="41"/>
      <c r="J89" s="41"/>
      <c r="K89" s="41"/>
      <c r="L89" s="2" t="str">
        <f t="shared" si="1"/>
        <v/>
      </c>
      <c r="P89" s="55"/>
    </row>
    <row r="90" spans="1:16" x14ac:dyDescent="0.3">
      <c r="A90" s="39"/>
      <c r="B90" s="40"/>
      <c r="C90" s="40"/>
      <c r="D90" s="41"/>
      <c r="E90" s="41"/>
      <c r="F90" s="41"/>
      <c r="G90" s="41"/>
      <c r="H90" s="41"/>
      <c r="I90" s="41"/>
      <c r="J90" s="41"/>
      <c r="K90" s="41"/>
      <c r="L90" s="2" t="str">
        <f t="shared" si="1"/>
        <v/>
      </c>
      <c r="P90" s="55"/>
    </row>
    <row r="91" spans="1:16" x14ac:dyDescent="0.3">
      <c r="A91" s="39"/>
      <c r="B91" s="40"/>
      <c r="C91" s="40"/>
      <c r="D91" s="41"/>
      <c r="E91" s="41"/>
      <c r="F91" s="41"/>
      <c r="G91" s="41"/>
      <c r="H91" s="41"/>
      <c r="I91" s="41"/>
      <c r="J91" s="41"/>
      <c r="K91" s="41"/>
      <c r="L91" s="2" t="str">
        <f t="shared" si="1"/>
        <v/>
      </c>
      <c r="P91" s="55"/>
    </row>
    <row r="92" spans="1:16" x14ac:dyDescent="0.3">
      <c r="A92" s="39"/>
      <c r="B92" s="40"/>
      <c r="C92" s="40"/>
      <c r="D92" s="41"/>
      <c r="E92" s="41"/>
      <c r="F92" s="41"/>
      <c r="G92" s="41"/>
      <c r="H92" s="41"/>
      <c r="I92" s="41"/>
      <c r="J92" s="41"/>
      <c r="K92" s="41"/>
      <c r="L92" s="2" t="str">
        <f t="shared" si="1"/>
        <v/>
      </c>
      <c r="P92" s="55"/>
    </row>
    <row r="93" spans="1:16" x14ac:dyDescent="0.3">
      <c r="A93" s="39"/>
      <c r="B93" s="40"/>
      <c r="C93" s="40"/>
      <c r="D93" s="41"/>
      <c r="E93" s="41"/>
      <c r="F93" s="41"/>
      <c r="G93" s="41"/>
      <c r="H93" s="41"/>
      <c r="I93" s="41"/>
      <c r="J93" s="41"/>
      <c r="K93" s="41"/>
      <c r="L93" s="2" t="str">
        <f t="shared" si="1"/>
        <v/>
      </c>
      <c r="P93" s="55"/>
    </row>
    <row r="94" spans="1:16" x14ac:dyDescent="0.3">
      <c r="A94" s="39"/>
      <c r="B94" s="40"/>
      <c r="C94" s="40"/>
      <c r="D94" s="41"/>
      <c r="E94" s="41"/>
      <c r="F94" s="41"/>
      <c r="G94" s="41"/>
      <c r="H94" s="41"/>
      <c r="I94" s="41"/>
      <c r="J94" s="41"/>
      <c r="K94" s="41"/>
      <c r="L94" s="2" t="str">
        <f t="shared" si="1"/>
        <v/>
      </c>
      <c r="P94" s="55"/>
    </row>
    <row r="95" spans="1:16" x14ac:dyDescent="0.3">
      <c r="A95" s="39"/>
      <c r="B95" s="40"/>
      <c r="C95" s="40"/>
      <c r="D95" s="41"/>
      <c r="E95" s="41"/>
      <c r="F95" s="41"/>
      <c r="G95" s="41"/>
      <c r="H95" s="41"/>
      <c r="I95" s="41"/>
      <c r="J95" s="41"/>
      <c r="K95" s="41"/>
      <c r="L95" s="2" t="str">
        <f t="shared" si="1"/>
        <v/>
      </c>
      <c r="P95" s="55"/>
    </row>
    <row r="96" spans="1:16" x14ac:dyDescent="0.3">
      <c r="A96" s="39"/>
      <c r="B96" s="40"/>
      <c r="C96" s="40"/>
      <c r="D96" s="41"/>
      <c r="E96" s="41"/>
      <c r="F96" s="41"/>
      <c r="G96" s="41"/>
      <c r="H96" s="41"/>
      <c r="I96" s="41"/>
      <c r="J96" s="41"/>
      <c r="K96" s="41"/>
      <c r="L96" s="2" t="str">
        <f t="shared" si="1"/>
        <v/>
      </c>
      <c r="P96" s="55"/>
    </row>
    <row r="97" spans="1:16" x14ac:dyDescent="0.3">
      <c r="A97" s="39"/>
      <c r="B97" s="40"/>
      <c r="C97" s="40"/>
      <c r="D97" s="41"/>
      <c r="E97" s="41"/>
      <c r="F97" s="41"/>
      <c r="G97" s="41"/>
      <c r="H97" s="41"/>
      <c r="I97" s="41"/>
      <c r="J97" s="41"/>
      <c r="K97" s="41"/>
      <c r="L97" s="2" t="str">
        <f t="shared" si="1"/>
        <v/>
      </c>
      <c r="P97" s="55"/>
    </row>
    <row r="98" spans="1:16" x14ac:dyDescent="0.3">
      <c r="A98" s="39"/>
      <c r="B98" s="40"/>
      <c r="C98" s="40"/>
      <c r="D98" s="40"/>
      <c r="E98" s="41"/>
      <c r="F98" s="41"/>
      <c r="G98" s="41"/>
      <c r="H98" s="41"/>
      <c r="I98" s="41"/>
      <c r="J98" s="41"/>
      <c r="K98" s="41"/>
      <c r="P98" s="55"/>
    </row>
    <row r="99" spans="1:16" x14ac:dyDescent="0.3">
      <c r="A99" s="39"/>
      <c r="B99" s="40"/>
      <c r="C99" s="40"/>
      <c r="D99" s="41"/>
      <c r="E99" s="41"/>
      <c r="F99" s="41"/>
      <c r="G99" s="41"/>
      <c r="H99" s="41"/>
      <c r="I99" s="41"/>
      <c r="J99" s="41"/>
      <c r="K99" s="41"/>
      <c r="P99" s="55"/>
    </row>
    <row r="100" spans="1:16" x14ac:dyDescent="0.3">
      <c r="A100" s="39"/>
      <c r="B100" s="40"/>
      <c r="C100" s="40"/>
      <c r="D100" s="41"/>
      <c r="E100" s="41"/>
      <c r="F100" s="41"/>
      <c r="G100" s="41"/>
      <c r="H100" s="41"/>
      <c r="I100" s="41"/>
      <c r="J100" s="41"/>
      <c r="K100" s="41"/>
      <c r="P100" s="55"/>
    </row>
    <row r="101" spans="1:16" x14ac:dyDescent="0.3">
      <c r="A101" s="39"/>
      <c r="B101" s="40"/>
      <c r="C101" s="40"/>
      <c r="D101" s="41"/>
      <c r="E101" s="41"/>
      <c r="F101" s="41"/>
      <c r="G101" s="41"/>
      <c r="H101" s="41"/>
      <c r="I101" s="41"/>
      <c r="J101" s="41"/>
      <c r="K101" s="41"/>
      <c r="P101" s="55"/>
    </row>
    <row r="102" spans="1:16" x14ac:dyDescent="0.3">
      <c r="A102" s="39"/>
      <c r="B102" s="40"/>
      <c r="C102" s="40"/>
      <c r="D102" s="41"/>
      <c r="E102" s="41"/>
      <c r="F102" s="41"/>
      <c r="G102" s="41"/>
      <c r="H102" s="41"/>
      <c r="I102" s="41"/>
      <c r="J102" s="41"/>
      <c r="K102" s="41"/>
      <c r="P102" s="55"/>
    </row>
    <row r="103" spans="1:16" x14ac:dyDescent="0.3">
      <c r="A103" s="39"/>
      <c r="B103" s="40"/>
      <c r="C103" s="40"/>
      <c r="D103" s="41"/>
      <c r="E103" s="41"/>
      <c r="F103" s="41"/>
      <c r="G103" s="41"/>
      <c r="H103" s="41"/>
      <c r="I103" s="41"/>
      <c r="J103" s="41"/>
      <c r="K103" s="41"/>
      <c r="P103" s="55"/>
    </row>
    <row r="104" spans="1:16" x14ac:dyDescent="0.3">
      <c r="A104" s="39"/>
      <c r="B104" s="40"/>
      <c r="C104" s="40"/>
      <c r="D104" s="41"/>
      <c r="E104" s="41"/>
      <c r="F104" s="41"/>
      <c r="G104" s="41"/>
      <c r="H104" s="41"/>
      <c r="I104" s="41"/>
      <c r="J104" s="41"/>
      <c r="K104" s="41"/>
      <c r="P104" s="55"/>
    </row>
    <row r="105" spans="1:16" x14ac:dyDescent="0.3">
      <c r="A105" s="39"/>
      <c r="B105" s="40"/>
      <c r="C105" s="40"/>
      <c r="D105" s="41"/>
      <c r="E105" s="41"/>
      <c r="F105" s="41"/>
      <c r="G105" s="41"/>
      <c r="H105" s="41"/>
      <c r="I105" s="41"/>
      <c r="J105" s="41"/>
      <c r="K105" s="41"/>
      <c r="P105" s="55"/>
    </row>
    <row r="106" spans="1:16" x14ac:dyDescent="0.3">
      <c r="A106" s="39"/>
      <c r="B106" s="40"/>
      <c r="C106" s="40"/>
      <c r="D106" s="41"/>
      <c r="E106" s="41"/>
      <c r="F106" s="41"/>
      <c r="G106" s="41"/>
      <c r="H106" s="41"/>
      <c r="I106" s="41"/>
      <c r="J106" s="41"/>
      <c r="K106" s="41"/>
      <c r="P106" s="55"/>
    </row>
    <row r="107" spans="1:16" x14ac:dyDescent="0.3">
      <c r="A107" s="39"/>
      <c r="B107" s="40"/>
      <c r="C107" s="40"/>
      <c r="D107" s="41"/>
      <c r="E107" s="41"/>
      <c r="F107" s="41"/>
      <c r="G107" s="41"/>
      <c r="H107" s="41"/>
      <c r="I107" s="41"/>
      <c r="J107" s="41"/>
      <c r="K107" s="41"/>
      <c r="P107" s="55"/>
    </row>
    <row r="108" spans="1:16" x14ac:dyDescent="0.3">
      <c r="A108" s="39"/>
      <c r="B108" s="40"/>
      <c r="C108" s="40"/>
      <c r="D108" s="41"/>
      <c r="E108" s="41"/>
      <c r="F108" s="41"/>
      <c r="G108" s="41"/>
      <c r="H108" s="41"/>
      <c r="I108" s="41"/>
      <c r="J108" s="41"/>
      <c r="K108" s="41"/>
      <c r="P108" s="55"/>
    </row>
    <row r="109" spans="1:16" x14ac:dyDescent="0.3">
      <c r="A109" s="39"/>
      <c r="B109" s="40"/>
      <c r="C109" s="40"/>
      <c r="D109" s="41"/>
      <c r="E109" s="41"/>
      <c r="F109" s="41"/>
      <c r="G109" s="41"/>
      <c r="H109" s="41"/>
      <c r="I109" s="41"/>
      <c r="J109" s="41"/>
      <c r="K109" s="41"/>
      <c r="P109" s="55"/>
    </row>
    <row r="110" spans="1:16" x14ac:dyDescent="0.3">
      <c r="A110" s="39"/>
      <c r="B110" s="40"/>
      <c r="C110" s="40"/>
      <c r="D110" s="41"/>
      <c r="E110" s="41"/>
      <c r="F110" s="41"/>
      <c r="G110" s="41"/>
      <c r="H110" s="41"/>
      <c r="I110" s="41"/>
      <c r="J110" s="41"/>
      <c r="K110" s="41"/>
      <c r="P110" s="55"/>
    </row>
    <row r="111" spans="1:16" x14ac:dyDescent="0.3">
      <c r="A111" s="39"/>
      <c r="B111" s="40"/>
      <c r="C111" s="40"/>
      <c r="D111" s="41"/>
      <c r="E111" s="41"/>
      <c r="F111" s="41"/>
      <c r="G111" s="41"/>
      <c r="H111" s="41"/>
      <c r="I111" s="41"/>
      <c r="J111" s="41"/>
      <c r="K111" s="41"/>
      <c r="P111" s="55"/>
    </row>
    <row r="112" spans="1:16" x14ac:dyDescent="0.3">
      <c r="A112" s="39"/>
      <c r="B112" s="40"/>
      <c r="C112" s="40"/>
      <c r="D112" s="41"/>
      <c r="E112" s="41"/>
      <c r="F112" s="41"/>
      <c r="G112" s="41"/>
      <c r="H112" s="41"/>
      <c r="I112" s="41"/>
      <c r="J112" s="41"/>
      <c r="K112" s="41"/>
      <c r="P112" s="55"/>
    </row>
    <row r="113" spans="1:16" x14ac:dyDescent="0.3">
      <c r="A113" s="39"/>
      <c r="B113" s="40"/>
      <c r="C113" s="40"/>
      <c r="D113" s="41"/>
      <c r="E113" s="41"/>
      <c r="F113" s="41"/>
      <c r="G113" s="41"/>
      <c r="H113" s="41"/>
      <c r="I113" s="41"/>
      <c r="J113" s="41"/>
      <c r="K113" s="41"/>
      <c r="P113" s="55"/>
    </row>
    <row r="114" spans="1:16" x14ac:dyDescent="0.3">
      <c r="A114" s="39"/>
      <c r="B114" s="40"/>
      <c r="C114" s="40"/>
      <c r="D114" s="41"/>
      <c r="E114" s="41"/>
      <c r="F114" s="41"/>
      <c r="G114" s="41"/>
      <c r="H114" s="41"/>
      <c r="I114" s="41"/>
      <c r="J114" s="41"/>
      <c r="K114" s="41"/>
      <c r="P114" s="55"/>
    </row>
    <row r="115" spans="1:16" x14ac:dyDescent="0.3">
      <c r="A115" s="39"/>
      <c r="B115" s="40"/>
      <c r="C115" s="40"/>
      <c r="D115" s="41"/>
      <c r="E115" s="41"/>
      <c r="F115" s="41"/>
      <c r="G115" s="41"/>
      <c r="H115" s="41"/>
      <c r="I115" s="41"/>
      <c r="J115" s="41"/>
      <c r="K115" s="41"/>
      <c r="P115" s="55"/>
    </row>
    <row r="116" spans="1:16" x14ac:dyDescent="0.3">
      <c r="A116" s="39"/>
      <c r="B116" s="40"/>
      <c r="C116" s="40"/>
      <c r="D116" s="41"/>
      <c r="E116" s="41"/>
      <c r="F116" s="41"/>
      <c r="G116" s="41"/>
      <c r="H116" s="41"/>
      <c r="I116" s="41"/>
      <c r="J116" s="41"/>
      <c r="K116" s="41"/>
      <c r="P116" s="55"/>
    </row>
    <row r="117" spans="1:16" x14ac:dyDescent="0.3">
      <c r="A117" s="39"/>
      <c r="B117" s="40"/>
      <c r="C117" s="40"/>
      <c r="D117" s="41"/>
      <c r="E117" s="41"/>
      <c r="F117" s="41"/>
      <c r="G117" s="41"/>
      <c r="H117" s="41"/>
      <c r="I117" s="41"/>
      <c r="J117" s="41"/>
      <c r="K117" s="41"/>
      <c r="P117" s="55"/>
    </row>
    <row r="118" spans="1:16" x14ac:dyDescent="0.3">
      <c r="A118" s="39"/>
      <c r="B118" s="40"/>
      <c r="C118" s="40"/>
      <c r="D118" s="41"/>
      <c r="E118" s="41"/>
      <c r="F118" s="41"/>
      <c r="G118" s="41"/>
      <c r="H118" s="41"/>
      <c r="I118" s="41"/>
      <c r="J118" s="41"/>
      <c r="K118" s="41"/>
      <c r="P118" s="55"/>
    </row>
    <row r="119" spans="1:16" x14ac:dyDescent="0.3">
      <c r="A119" s="39"/>
      <c r="B119" s="40"/>
      <c r="C119" s="40"/>
      <c r="D119" s="41"/>
      <c r="E119" s="41"/>
      <c r="F119" s="41"/>
      <c r="G119" s="41"/>
      <c r="H119" s="41"/>
      <c r="I119" s="41"/>
      <c r="J119" s="41"/>
      <c r="K119" s="41"/>
      <c r="P119" s="55"/>
    </row>
    <row r="120" spans="1:16" x14ac:dyDescent="0.3">
      <c r="A120" s="39"/>
      <c r="B120" s="40"/>
      <c r="C120" s="40"/>
      <c r="D120" s="41"/>
      <c r="E120" s="41"/>
      <c r="F120" s="41"/>
      <c r="G120" s="41"/>
      <c r="H120" s="41"/>
      <c r="I120" s="41"/>
      <c r="J120" s="41"/>
      <c r="K120" s="41"/>
      <c r="P120" s="55"/>
    </row>
    <row r="121" spans="1:16" x14ac:dyDescent="0.3">
      <c r="A121" s="39"/>
      <c r="B121" s="40"/>
      <c r="C121" s="40"/>
      <c r="D121" s="41"/>
      <c r="E121" s="41"/>
      <c r="F121" s="41"/>
      <c r="G121" s="41"/>
      <c r="H121" s="41"/>
      <c r="I121" s="41"/>
      <c r="J121" s="41"/>
      <c r="K121" s="41"/>
      <c r="P121" s="55"/>
    </row>
    <row r="122" spans="1:16" x14ac:dyDescent="0.3">
      <c r="A122" s="39"/>
      <c r="B122" s="40"/>
      <c r="C122" s="40"/>
      <c r="D122" s="41"/>
      <c r="E122" s="41"/>
      <c r="F122" s="41"/>
      <c r="G122" s="41"/>
      <c r="H122" s="41"/>
      <c r="I122" s="41"/>
      <c r="J122" s="41"/>
      <c r="K122" s="41"/>
      <c r="P122" s="55"/>
    </row>
    <row r="123" spans="1:16" x14ac:dyDescent="0.3">
      <c r="A123" s="39"/>
      <c r="B123" s="40"/>
      <c r="C123" s="40"/>
      <c r="D123" s="41"/>
      <c r="E123" s="41"/>
      <c r="F123" s="41"/>
      <c r="G123" s="41"/>
      <c r="H123" s="41"/>
      <c r="I123" s="41"/>
      <c r="J123" s="41"/>
      <c r="K123" s="41"/>
      <c r="P123" s="55"/>
    </row>
    <row r="124" spans="1:16" x14ac:dyDescent="0.3">
      <c r="A124" s="39"/>
      <c r="B124" s="40"/>
      <c r="C124" s="40"/>
      <c r="D124" s="41"/>
      <c r="E124" s="41"/>
      <c r="F124" s="41"/>
      <c r="G124" s="41"/>
      <c r="H124" s="41"/>
      <c r="I124" s="41"/>
      <c r="J124" s="41"/>
      <c r="K124" s="41"/>
      <c r="P124" s="55"/>
    </row>
    <row r="125" spans="1:16" x14ac:dyDescent="0.3">
      <c r="A125" s="39"/>
      <c r="B125" s="40"/>
      <c r="C125" s="40"/>
      <c r="D125" s="41"/>
      <c r="E125" s="41"/>
      <c r="F125" s="41"/>
      <c r="G125" s="41"/>
      <c r="H125" s="41"/>
      <c r="I125" s="41"/>
      <c r="J125" s="41"/>
      <c r="K125" s="41"/>
      <c r="P125" s="55"/>
    </row>
    <row r="126" spans="1:16" x14ac:dyDescent="0.3">
      <c r="A126" s="39"/>
      <c r="B126" s="40"/>
      <c r="C126" s="40"/>
      <c r="D126" s="41"/>
      <c r="E126" s="41"/>
      <c r="F126" s="41"/>
      <c r="G126" s="41"/>
      <c r="H126" s="41"/>
      <c r="I126" s="41"/>
      <c r="J126" s="41"/>
      <c r="K126" s="41"/>
      <c r="P126" s="55"/>
    </row>
    <row r="127" spans="1:16" x14ac:dyDescent="0.3">
      <c r="A127" s="39"/>
      <c r="B127" s="40"/>
      <c r="C127" s="40"/>
      <c r="D127" s="41"/>
      <c r="E127" s="41"/>
      <c r="F127" s="41"/>
      <c r="G127" s="41"/>
      <c r="H127" s="41"/>
      <c r="I127" s="41"/>
      <c r="J127" s="41"/>
      <c r="K127" s="41"/>
      <c r="P127" s="55"/>
    </row>
    <row r="128" spans="1:16" x14ac:dyDescent="0.3">
      <c r="A128" s="39"/>
      <c r="B128" s="40"/>
      <c r="C128" s="40"/>
      <c r="D128" s="41"/>
      <c r="E128" s="41"/>
      <c r="F128" s="41"/>
      <c r="G128" s="41"/>
      <c r="H128" s="41"/>
      <c r="I128" s="41"/>
      <c r="J128" s="41"/>
      <c r="K128" s="41"/>
      <c r="P128" s="55"/>
    </row>
    <row r="129" spans="1:16" x14ac:dyDescent="0.3">
      <c r="A129" s="39"/>
      <c r="B129" s="40"/>
      <c r="C129" s="40"/>
      <c r="D129" s="41"/>
      <c r="E129" s="41"/>
      <c r="F129" s="41"/>
      <c r="G129" s="41"/>
      <c r="H129" s="41"/>
      <c r="I129" s="41"/>
      <c r="J129" s="41"/>
      <c r="K129" s="41"/>
      <c r="P129" s="55"/>
    </row>
    <row r="130" spans="1:16" x14ac:dyDescent="0.3">
      <c r="A130" s="39"/>
      <c r="B130" s="40"/>
      <c r="C130" s="40"/>
      <c r="D130" s="41"/>
      <c r="E130" s="41"/>
      <c r="F130" s="41"/>
      <c r="G130" s="41"/>
      <c r="H130" s="41"/>
      <c r="I130" s="41"/>
      <c r="J130" s="41"/>
      <c r="K130" s="41"/>
      <c r="P130" s="55"/>
    </row>
    <row r="131" spans="1:16" x14ac:dyDescent="0.3">
      <c r="A131" s="39"/>
      <c r="B131" s="40"/>
      <c r="C131" s="40"/>
      <c r="D131" s="41"/>
      <c r="E131" s="41"/>
      <c r="F131" s="41"/>
      <c r="G131" s="41"/>
      <c r="H131" s="41"/>
      <c r="I131" s="41"/>
      <c r="J131" s="41"/>
      <c r="K131" s="41"/>
      <c r="P131" s="55"/>
    </row>
    <row r="132" spans="1:16" x14ac:dyDescent="0.3">
      <c r="A132" s="39"/>
      <c r="B132" s="40"/>
      <c r="C132" s="40"/>
      <c r="D132" s="41"/>
      <c r="E132" s="41"/>
      <c r="F132" s="41"/>
      <c r="G132" s="41"/>
      <c r="H132" s="41"/>
      <c r="I132" s="41"/>
      <c r="J132" s="41"/>
      <c r="K132" s="41"/>
      <c r="P132" s="55"/>
    </row>
    <row r="133" spans="1:16" x14ac:dyDescent="0.3">
      <c r="A133" s="39"/>
      <c r="B133" s="40"/>
      <c r="C133" s="40"/>
      <c r="D133" s="41"/>
      <c r="E133" s="41"/>
      <c r="F133" s="41"/>
      <c r="G133" s="41"/>
      <c r="H133" s="41"/>
      <c r="I133" s="41"/>
      <c r="J133" s="41"/>
      <c r="K133" s="41"/>
      <c r="P133" s="55"/>
    </row>
    <row r="134" spans="1:16" x14ac:dyDescent="0.3">
      <c r="A134" s="39"/>
      <c r="B134" s="40"/>
      <c r="C134" s="40"/>
      <c r="D134" s="41"/>
      <c r="E134" s="41"/>
      <c r="F134" s="41"/>
      <c r="G134" s="41"/>
      <c r="H134" s="41"/>
      <c r="I134" s="41"/>
      <c r="J134" s="41"/>
      <c r="K134" s="41"/>
      <c r="P134" s="55"/>
    </row>
    <row r="135" spans="1:16" x14ac:dyDescent="0.3">
      <c r="A135" s="39"/>
      <c r="B135" s="40"/>
      <c r="C135" s="40"/>
      <c r="D135" s="41"/>
      <c r="E135" s="41"/>
      <c r="F135" s="41"/>
      <c r="G135" s="41"/>
      <c r="H135" s="41"/>
      <c r="I135" s="41"/>
      <c r="J135" s="41"/>
      <c r="K135" s="41"/>
      <c r="P135" s="55"/>
    </row>
    <row r="136" spans="1:16" x14ac:dyDescent="0.3">
      <c r="A136" s="39"/>
      <c r="B136" s="40"/>
      <c r="C136" s="40"/>
      <c r="D136" s="41"/>
      <c r="E136" s="41"/>
      <c r="F136" s="41"/>
      <c r="G136" s="41"/>
      <c r="H136" s="41"/>
      <c r="I136" s="41"/>
      <c r="J136" s="41"/>
      <c r="K136" s="41"/>
      <c r="P136" s="55"/>
    </row>
    <row r="137" spans="1:16" x14ac:dyDescent="0.3">
      <c r="A137" s="39"/>
      <c r="B137" s="40"/>
      <c r="C137" s="40"/>
      <c r="D137" s="41"/>
      <c r="E137" s="41"/>
      <c r="F137" s="41"/>
      <c r="G137" s="41"/>
      <c r="H137" s="41"/>
      <c r="I137" s="41"/>
      <c r="J137" s="41"/>
      <c r="K137" s="41"/>
      <c r="P137" s="55"/>
    </row>
    <row r="138" spans="1:16" x14ac:dyDescent="0.3">
      <c r="A138" s="39"/>
      <c r="B138" s="40"/>
      <c r="C138" s="40"/>
      <c r="D138" s="41"/>
      <c r="E138" s="41"/>
      <c r="F138" s="41"/>
      <c r="G138" s="41"/>
      <c r="H138" s="41"/>
      <c r="I138" s="41"/>
      <c r="J138" s="41"/>
      <c r="K138" s="41"/>
      <c r="P138" s="55"/>
    </row>
    <row r="139" spans="1:16" x14ac:dyDescent="0.3">
      <c r="A139" s="39"/>
      <c r="B139" s="40"/>
      <c r="C139" s="40"/>
      <c r="D139" s="41"/>
      <c r="E139" s="41"/>
      <c r="F139" s="41"/>
      <c r="G139" s="41"/>
      <c r="H139" s="41"/>
      <c r="I139" s="41"/>
      <c r="J139" s="41"/>
      <c r="K139" s="41"/>
      <c r="P139" s="55"/>
    </row>
    <row r="140" spans="1:16" x14ac:dyDescent="0.3">
      <c r="A140" s="39"/>
      <c r="B140" s="40"/>
      <c r="C140" s="40"/>
      <c r="D140" s="41"/>
      <c r="E140" s="41"/>
      <c r="F140" s="41"/>
      <c r="G140" s="41"/>
      <c r="H140" s="41"/>
      <c r="I140" s="41"/>
      <c r="J140" s="41"/>
      <c r="K140" s="41"/>
      <c r="P140" s="55"/>
    </row>
    <row r="141" spans="1:16" x14ac:dyDescent="0.3">
      <c r="A141" s="39"/>
      <c r="B141" s="40"/>
      <c r="C141" s="40"/>
      <c r="D141" s="41"/>
      <c r="E141" s="41"/>
      <c r="F141" s="41"/>
      <c r="G141" s="41"/>
      <c r="H141" s="41"/>
      <c r="I141" s="41"/>
      <c r="J141" s="41"/>
      <c r="K141" s="41"/>
      <c r="P141" s="55"/>
    </row>
    <row r="142" spans="1:16" x14ac:dyDescent="0.3">
      <c r="A142" s="39"/>
      <c r="B142" s="40"/>
      <c r="C142" s="40"/>
      <c r="D142" s="41"/>
      <c r="E142" s="41"/>
      <c r="F142" s="41"/>
      <c r="G142" s="41"/>
      <c r="H142" s="41"/>
      <c r="I142" s="41"/>
      <c r="J142" s="41"/>
      <c r="K142" s="41"/>
      <c r="P142" s="55"/>
    </row>
    <row r="143" spans="1:16" x14ac:dyDescent="0.3">
      <c r="A143" s="39"/>
      <c r="B143" s="40"/>
      <c r="C143" s="40"/>
      <c r="D143" s="41"/>
      <c r="E143" s="41"/>
      <c r="F143" s="41"/>
      <c r="G143" s="41"/>
      <c r="H143" s="41"/>
      <c r="I143" s="41"/>
      <c r="J143" s="41"/>
      <c r="K143" s="41"/>
      <c r="P143" s="55"/>
    </row>
    <row r="144" spans="1:16" x14ac:dyDescent="0.3">
      <c r="A144" s="39"/>
      <c r="B144" s="40"/>
      <c r="C144" s="40"/>
      <c r="D144" s="41"/>
      <c r="E144" s="41"/>
      <c r="F144" s="41"/>
      <c r="G144" s="41"/>
      <c r="H144" s="41"/>
      <c r="I144" s="41"/>
      <c r="J144" s="41"/>
      <c r="K144" s="41"/>
      <c r="P144" s="55"/>
    </row>
    <row r="145" spans="1:16" x14ac:dyDescent="0.3">
      <c r="A145" s="39"/>
      <c r="B145" s="40"/>
      <c r="C145" s="40"/>
      <c r="D145" s="41"/>
      <c r="E145" s="41"/>
      <c r="F145" s="41"/>
      <c r="G145" s="41"/>
      <c r="H145" s="41"/>
      <c r="I145" s="41"/>
      <c r="J145" s="41"/>
      <c r="K145" s="41"/>
      <c r="P145" s="55"/>
    </row>
    <row r="146" spans="1:16" x14ac:dyDescent="0.3">
      <c r="A146" s="39"/>
      <c r="B146" s="40"/>
      <c r="C146" s="40"/>
      <c r="D146" s="41"/>
      <c r="E146" s="41"/>
      <c r="F146" s="41"/>
      <c r="G146" s="41"/>
      <c r="H146" s="41"/>
      <c r="I146" s="41"/>
      <c r="J146" s="41"/>
      <c r="K146" s="41"/>
      <c r="P146" s="55"/>
    </row>
    <row r="147" spans="1:16" x14ac:dyDescent="0.3">
      <c r="A147" s="39"/>
      <c r="B147" s="40"/>
      <c r="C147" s="40"/>
      <c r="D147" s="41"/>
      <c r="E147" s="41"/>
      <c r="F147" s="41"/>
      <c r="G147" s="41"/>
      <c r="H147" s="41"/>
      <c r="I147" s="41"/>
      <c r="J147" s="41"/>
      <c r="K147" s="41"/>
      <c r="P147" s="55"/>
    </row>
    <row r="148" spans="1:16" x14ac:dyDescent="0.3">
      <c r="A148" s="39"/>
      <c r="B148" s="40"/>
      <c r="C148" s="40"/>
      <c r="D148" s="41"/>
      <c r="E148" s="41"/>
      <c r="F148" s="41"/>
      <c r="G148" s="41"/>
      <c r="H148" s="41"/>
      <c r="I148" s="41"/>
      <c r="J148" s="41"/>
      <c r="K148" s="41"/>
      <c r="P148" s="55"/>
    </row>
    <row r="149" spans="1:16" x14ac:dyDescent="0.3">
      <c r="A149" s="39"/>
      <c r="B149" s="40"/>
      <c r="C149" s="40"/>
      <c r="D149" s="41"/>
      <c r="E149" s="41"/>
      <c r="F149" s="41"/>
      <c r="G149" s="41"/>
      <c r="H149" s="41"/>
      <c r="I149" s="41"/>
      <c r="J149" s="41"/>
      <c r="K149" s="41"/>
      <c r="P149" s="55"/>
    </row>
    <row r="150" spans="1:16" x14ac:dyDescent="0.3">
      <c r="A150" s="39"/>
      <c r="B150" s="40"/>
      <c r="C150" s="40"/>
      <c r="D150" s="41"/>
      <c r="E150" s="41"/>
      <c r="F150" s="41"/>
      <c r="G150" s="41"/>
      <c r="H150" s="41"/>
      <c r="I150" s="41"/>
      <c r="J150" s="41"/>
      <c r="K150" s="41"/>
      <c r="P150" s="55"/>
    </row>
    <row r="151" spans="1:16" x14ac:dyDescent="0.3">
      <c r="A151" s="39"/>
      <c r="B151" s="40"/>
      <c r="C151" s="40"/>
      <c r="D151" s="41"/>
      <c r="E151" s="41"/>
      <c r="F151" s="41"/>
      <c r="G151" s="41"/>
      <c r="H151" s="41"/>
      <c r="I151" s="41"/>
      <c r="J151" s="41"/>
      <c r="K151" s="41"/>
      <c r="P151" s="55"/>
    </row>
    <row r="152" spans="1:16" x14ac:dyDescent="0.3">
      <c r="A152" s="39"/>
      <c r="B152" s="40"/>
      <c r="C152" s="40"/>
      <c r="D152" s="41"/>
      <c r="E152" s="41"/>
      <c r="F152" s="41"/>
      <c r="G152" s="41"/>
      <c r="H152" s="41"/>
      <c r="I152" s="41"/>
      <c r="J152" s="41"/>
      <c r="K152" s="41"/>
      <c r="P152" s="55"/>
    </row>
    <row r="153" spans="1:16" x14ac:dyDescent="0.3">
      <c r="A153" s="39"/>
      <c r="B153" s="40"/>
      <c r="C153" s="40"/>
      <c r="D153" s="41"/>
      <c r="E153" s="41"/>
      <c r="F153" s="41"/>
      <c r="G153" s="41"/>
      <c r="H153" s="41"/>
      <c r="I153" s="41"/>
      <c r="J153" s="41"/>
      <c r="K153" s="41"/>
      <c r="P153" s="55"/>
    </row>
    <row r="154" spans="1:16" x14ac:dyDescent="0.3">
      <c r="A154" s="39"/>
      <c r="B154" s="40"/>
      <c r="C154" s="40"/>
      <c r="D154" s="41"/>
      <c r="E154" s="41"/>
      <c r="F154" s="41"/>
      <c r="G154" s="41"/>
      <c r="H154" s="41"/>
      <c r="I154" s="41"/>
      <c r="J154" s="41"/>
      <c r="K154" s="41"/>
      <c r="P154" s="55"/>
    </row>
    <row r="155" spans="1:16" x14ac:dyDescent="0.3">
      <c r="A155" s="39"/>
      <c r="B155" s="40"/>
      <c r="C155" s="40"/>
      <c r="D155" s="41"/>
      <c r="E155" s="41"/>
      <c r="F155" s="41"/>
      <c r="G155" s="41"/>
      <c r="H155" s="41"/>
      <c r="I155" s="41"/>
      <c r="J155" s="41"/>
      <c r="K155" s="41"/>
      <c r="P155" s="55"/>
    </row>
    <row r="156" spans="1:16" x14ac:dyDescent="0.3">
      <c r="A156" s="39"/>
      <c r="B156" s="40"/>
      <c r="C156" s="40"/>
      <c r="D156" s="41"/>
      <c r="E156" s="41"/>
      <c r="F156" s="41"/>
      <c r="G156" s="41"/>
      <c r="H156" s="41"/>
      <c r="I156" s="41"/>
      <c r="J156" s="41"/>
      <c r="K156" s="41"/>
      <c r="P156" s="55"/>
    </row>
    <row r="157" spans="1:16" x14ac:dyDescent="0.3">
      <c r="A157" s="39"/>
      <c r="B157" s="40"/>
      <c r="C157" s="40"/>
      <c r="D157" s="41"/>
      <c r="E157" s="41"/>
      <c r="F157" s="41"/>
      <c r="G157" s="41"/>
      <c r="H157" s="41"/>
      <c r="I157" s="41"/>
      <c r="J157" s="41"/>
      <c r="K157" s="41"/>
      <c r="P157" s="55"/>
    </row>
    <row r="158" spans="1:16" x14ac:dyDescent="0.3">
      <c r="A158" s="39"/>
      <c r="B158" s="40"/>
      <c r="C158" s="40"/>
      <c r="D158" s="41"/>
      <c r="E158" s="41"/>
      <c r="F158" s="41"/>
      <c r="G158" s="41"/>
      <c r="H158" s="41"/>
      <c r="I158" s="41"/>
      <c r="J158" s="41"/>
      <c r="K158" s="41"/>
      <c r="P158" s="55"/>
    </row>
    <row r="159" spans="1:16" x14ac:dyDescent="0.3">
      <c r="A159" s="39"/>
      <c r="B159" s="40"/>
      <c r="C159" s="40"/>
      <c r="D159" s="41"/>
      <c r="E159" s="41"/>
      <c r="F159" s="41"/>
      <c r="G159" s="41"/>
      <c r="H159" s="41"/>
      <c r="I159" s="41"/>
      <c r="J159" s="41"/>
      <c r="K159" s="41"/>
      <c r="P159" s="55"/>
    </row>
    <row r="160" spans="1:16" x14ac:dyDescent="0.3">
      <c r="A160" s="39"/>
      <c r="B160" s="40"/>
      <c r="C160" s="40"/>
      <c r="D160" s="41"/>
      <c r="E160" s="41"/>
      <c r="F160" s="41"/>
      <c r="G160" s="41"/>
      <c r="H160" s="41"/>
      <c r="I160" s="41"/>
      <c r="J160" s="41"/>
      <c r="K160" s="41"/>
      <c r="P160" s="55"/>
    </row>
    <row r="161" spans="1:16" x14ac:dyDescent="0.3">
      <c r="A161" s="39"/>
      <c r="B161" s="40"/>
      <c r="C161" s="40"/>
      <c r="D161" s="41"/>
      <c r="E161" s="41"/>
      <c r="F161" s="41"/>
      <c r="G161" s="41"/>
      <c r="H161" s="41"/>
      <c r="I161" s="41"/>
      <c r="J161" s="41"/>
      <c r="K161" s="41"/>
      <c r="P161" s="55"/>
    </row>
    <row r="162" spans="1:16" x14ac:dyDescent="0.3">
      <c r="A162" s="39"/>
      <c r="B162" s="40"/>
      <c r="C162" s="40"/>
      <c r="D162" s="41"/>
      <c r="E162" s="41"/>
      <c r="F162" s="41"/>
      <c r="G162" s="41"/>
      <c r="H162" s="41"/>
      <c r="I162" s="41"/>
      <c r="J162" s="41"/>
      <c r="K162" s="41"/>
      <c r="P162" s="55"/>
    </row>
    <row r="163" spans="1:16" x14ac:dyDescent="0.3">
      <c r="A163" s="39"/>
      <c r="B163" s="40"/>
      <c r="C163" s="40"/>
      <c r="D163" s="41"/>
      <c r="E163" s="41"/>
      <c r="F163" s="41"/>
      <c r="G163" s="41"/>
      <c r="H163" s="41"/>
      <c r="I163" s="41"/>
      <c r="J163" s="41"/>
      <c r="K163" s="41"/>
      <c r="P163" s="55"/>
    </row>
    <row r="164" spans="1:16" x14ac:dyDescent="0.3">
      <c r="A164" s="39"/>
      <c r="B164" s="40"/>
      <c r="C164" s="40"/>
      <c r="D164" s="41"/>
      <c r="E164" s="41"/>
      <c r="F164" s="41"/>
      <c r="G164" s="41"/>
      <c r="H164" s="41"/>
      <c r="I164" s="41"/>
      <c r="J164" s="41"/>
      <c r="K164" s="41"/>
      <c r="P164" s="55"/>
    </row>
    <row r="165" spans="1:16" x14ac:dyDescent="0.3">
      <c r="A165" s="39"/>
      <c r="B165" s="40"/>
      <c r="C165" s="40"/>
      <c r="D165" s="41"/>
      <c r="E165" s="41"/>
      <c r="F165" s="41"/>
      <c r="G165" s="41"/>
      <c r="H165" s="41"/>
      <c r="I165" s="41"/>
      <c r="J165" s="41"/>
      <c r="K165" s="41"/>
      <c r="P165" s="55"/>
    </row>
    <row r="166" spans="1:16" x14ac:dyDescent="0.3">
      <c r="A166" s="39"/>
      <c r="B166" s="40"/>
      <c r="C166" s="40"/>
      <c r="D166" s="41"/>
      <c r="E166" s="41"/>
      <c r="F166" s="41"/>
      <c r="G166" s="41"/>
      <c r="H166" s="41"/>
      <c r="I166" s="41"/>
      <c r="J166" s="41"/>
      <c r="K166" s="41"/>
      <c r="P166" s="55"/>
    </row>
    <row r="167" spans="1:16" x14ac:dyDescent="0.3">
      <c r="A167" s="39"/>
      <c r="B167" s="40"/>
      <c r="C167" s="40"/>
      <c r="D167" s="41"/>
      <c r="E167" s="41"/>
      <c r="F167" s="41"/>
      <c r="G167" s="41"/>
      <c r="H167" s="41"/>
      <c r="I167" s="41"/>
      <c r="J167" s="41"/>
      <c r="K167" s="41"/>
      <c r="P167" s="55"/>
    </row>
    <row r="168" spans="1:16" x14ac:dyDescent="0.3">
      <c r="A168" s="39"/>
      <c r="B168" s="40"/>
      <c r="C168" s="40"/>
      <c r="D168" s="41"/>
      <c r="E168" s="41"/>
      <c r="F168" s="41"/>
      <c r="G168" s="41"/>
      <c r="H168" s="41"/>
      <c r="I168" s="41"/>
      <c r="J168" s="41"/>
      <c r="K168" s="41"/>
      <c r="P168" s="55"/>
    </row>
    <row r="169" spans="1:16" x14ac:dyDescent="0.3">
      <c r="A169" s="39"/>
      <c r="B169" s="40"/>
      <c r="C169" s="40"/>
      <c r="D169" s="41"/>
      <c r="E169" s="41"/>
      <c r="F169" s="41"/>
      <c r="G169" s="41"/>
      <c r="H169" s="41"/>
      <c r="I169" s="41"/>
      <c r="J169" s="41"/>
      <c r="K169" s="41"/>
      <c r="P169" s="55"/>
    </row>
    <row r="170" spans="1:16" x14ac:dyDescent="0.3">
      <c r="A170" s="39"/>
      <c r="B170" s="40"/>
      <c r="C170" s="40"/>
      <c r="D170" s="41"/>
      <c r="E170" s="41"/>
      <c r="F170" s="41"/>
      <c r="G170" s="41"/>
      <c r="H170" s="41"/>
      <c r="I170" s="41"/>
      <c r="J170" s="41"/>
      <c r="K170" s="41"/>
      <c r="P170" s="55"/>
    </row>
    <row r="171" spans="1:16" x14ac:dyDescent="0.3">
      <c r="A171" s="39"/>
      <c r="B171" s="40"/>
      <c r="C171" s="40"/>
      <c r="D171" s="41"/>
      <c r="E171" s="41"/>
      <c r="F171" s="41"/>
      <c r="G171" s="41"/>
      <c r="H171" s="41"/>
      <c r="I171" s="41"/>
      <c r="J171" s="41"/>
      <c r="K171" s="41"/>
      <c r="P171" s="55"/>
    </row>
    <row r="172" spans="1:16" x14ac:dyDescent="0.3">
      <c r="A172" s="39"/>
      <c r="B172" s="40"/>
      <c r="C172" s="40"/>
      <c r="D172" s="41"/>
      <c r="E172" s="41"/>
      <c r="F172" s="41"/>
      <c r="G172" s="41"/>
      <c r="H172" s="41"/>
      <c r="I172" s="41"/>
      <c r="J172" s="41"/>
      <c r="K172" s="41"/>
      <c r="P172" s="55"/>
    </row>
    <row r="173" spans="1:16" x14ac:dyDescent="0.3">
      <c r="A173" s="39"/>
      <c r="B173" s="40"/>
      <c r="C173" s="40"/>
      <c r="D173" s="41"/>
      <c r="E173" s="41"/>
      <c r="F173" s="41"/>
      <c r="G173" s="41"/>
      <c r="H173" s="41"/>
      <c r="I173" s="41"/>
      <c r="J173" s="41"/>
      <c r="K173" s="41"/>
      <c r="P173" s="55"/>
    </row>
    <row r="174" spans="1:16" x14ac:dyDescent="0.3">
      <c r="A174" s="39"/>
      <c r="B174" s="40"/>
      <c r="C174" s="40"/>
      <c r="D174" s="41"/>
      <c r="E174" s="41"/>
      <c r="F174" s="41"/>
      <c r="G174" s="41"/>
      <c r="H174" s="41"/>
      <c r="I174" s="41"/>
      <c r="J174" s="41"/>
      <c r="K174" s="41"/>
      <c r="P174" s="55"/>
    </row>
    <row r="175" spans="1:16" x14ac:dyDescent="0.3">
      <c r="A175" s="39"/>
      <c r="B175" s="40"/>
      <c r="C175" s="40"/>
      <c r="D175" s="41"/>
      <c r="E175" s="41"/>
      <c r="F175" s="41"/>
      <c r="G175" s="41"/>
      <c r="H175" s="41"/>
      <c r="I175" s="41"/>
      <c r="J175" s="41"/>
      <c r="K175" s="41"/>
      <c r="P175" s="55"/>
    </row>
    <row r="176" spans="1:16" x14ac:dyDescent="0.3">
      <c r="A176" s="39"/>
      <c r="B176" s="40"/>
      <c r="C176" s="40"/>
      <c r="D176" s="41"/>
      <c r="E176" s="41"/>
      <c r="F176" s="41"/>
      <c r="G176" s="41"/>
      <c r="H176" s="41"/>
      <c r="I176" s="41"/>
      <c r="J176" s="41"/>
      <c r="K176" s="41"/>
      <c r="P176" s="55"/>
    </row>
    <row r="177" spans="1:16" x14ac:dyDescent="0.3">
      <c r="A177" s="39"/>
      <c r="B177" s="40"/>
      <c r="C177" s="40"/>
      <c r="D177" s="41"/>
      <c r="E177" s="41"/>
      <c r="F177" s="41"/>
      <c r="G177" s="41"/>
      <c r="H177" s="41"/>
      <c r="I177" s="41"/>
      <c r="J177" s="41"/>
      <c r="K177" s="41"/>
      <c r="P177" s="55"/>
    </row>
    <row r="178" spans="1:16" x14ac:dyDescent="0.3">
      <c r="A178" s="39"/>
      <c r="B178" s="40"/>
      <c r="C178" s="40"/>
      <c r="D178" s="41"/>
      <c r="E178" s="41"/>
      <c r="F178" s="41"/>
      <c r="G178" s="41"/>
      <c r="H178" s="41"/>
      <c r="I178" s="41"/>
      <c r="J178" s="41"/>
      <c r="K178" s="41"/>
      <c r="P178" s="55"/>
    </row>
    <row r="179" spans="1:16" x14ac:dyDescent="0.3">
      <c r="A179" s="39"/>
      <c r="B179" s="40"/>
      <c r="C179" s="40"/>
      <c r="D179" s="41"/>
      <c r="E179" s="41"/>
      <c r="F179" s="41"/>
      <c r="G179" s="41"/>
      <c r="H179" s="41"/>
      <c r="I179" s="41"/>
      <c r="J179" s="41"/>
      <c r="K179" s="41"/>
      <c r="P179" s="55"/>
    </row>
    <row r="180" spans="1:16" x14ac:dyDescent="0.3">
      <c r="A180" s="39"/>
      <c r="B180" s="40"/>
      <c r="C180" s="40"/>
      <c r="D180" s="41"/>
      <c r="E180" s="41"/>
      <c r="F180" s="41"/>
      <c r="G180" s="41"/>
      <c r="H180" s="41"/>
      <c r="I180" s="41"/>
      <c r="J180" s="41"/>
      <c r="K180" s="41"/>
      <c r="P180" s="55"/>
    </row>
    <row r="181" spans="1:16" x14ac:dyDescent="0.3">
      <c r="A181" s="39"/>
      <c r="B181" s="40"/>
      <c r="C181" s="40"/>
      <c r="D181" s="41"/>
      <c r="E181" s="41"/>
      <c r="F181" s="41"/>
      <c r="G181" s="41"/>
      <c r="H181" s="41"/>
      <c r="I181" s="41"/>
      <c r="J181" s="41"/>
      <c r="K181" s="41"/>
      <c r="P181" s="55"/>
    </row>
    <row r="182" spans="1:16" x14ac:dyDescent="0.3">
      <c r="A182" s="39"/>
      <c r="B182" s="40"/>
      <c r="C182" s="40"/>
      <c r="D182" s="41"/>
      <c r="E182" s="41"/>
      <c r="F182" s="41"/>
      <c r="G182" s="41"/>
      <c r="H182" s="41"/>
      <c r="I182" s="41"/>
      <c r="J182" s="41"/>
      <c r="K182" s="41"/>
      <c r="P182" s="55"/>
    </row>
    <row r="183" spans="1:16" x14ac:dyDescent="0.3">
      <c r="A183" s="39"/>
      <c r="B183" s="40"/>
      <c r="C183" s="40"/>
      <c r="D183" s="41"/>
      <c r="E183" s="41"/>
      <c r="F183" s="41"/>
      <c r="G183" s="41"/>
      <c r="H183" s="41"/>
      <c r="I183" s="41"/>
      <c r="J183" s="41"/>
      <c r="K183" s="41"/>
      <c r="P183" s="55"/>
    </row>
    <row r="184" spans="1:16" x14ac:dyDescent="0.3">
      <c r="A184" s="39"/>
      <c r="B184" s="40"/>
      <c r="C184" s="40"/>
      <c r="D184" s="41"/>
      <c r="E184" s="41"/>
      <c r="F184" s="41"/>
      <c r="G184" s="41"/>
      <c r="H184" s="41"/>
      <c r="I184" s="41"/>
      <c r="J184" s="41"/>
      <c r="K184" s="41"/>
      <c r="P184" s="55"/>
    </row>
    <row r="185" spans="1:16" x14ac:dyDescent="0.3">
      <c r="A185" s="39"/>
      <c r="B185" s="40"/>
      <c r="C185" s="40"/>
      <c r="D185" s="41"/>
      <c r="E185" s="41"/>
      <c r="F185" s="41"/>
      <c r="G185" s="41"/>
      <c r="H185" s="41"/>
      <c r="I185" s="41"/>
      <c r="J185" s="41"/>
      <c r="K185" s="41"/>
      <c r="P185" s="55"/>
    </row>
    <row r="186" spans="1:16" x14ac:dyDescent="0.3">
      <c r="A186" s="39"/>
      <c r="B186" s="40"/>
      <c r="C186" s="40"/>
      <c r="D186" s="41"/>
      <c r="E186" s="41"/>
      <c r="F186" s="41"/>
      <c r="G186" s="41"/>
      <c r="H186" s="41"/>
      <c r="I186" s="41"/>
      <c r="J186" s="41"/>
      <c r="K186" s="41"/>
      <c r="P186" s="55"/>
    </row>
    <row r="187" spans="1:16" x14ac:dyDescent="0.3">
      <c r="A187" s="39"/>
      <c r="B187" s="40"/>
      <c r="C187" s="40"/>
      <c r="D187" s="41"/>
      <c r="E187" s="41"/>
      <c r="F187" s="41"/>
      <c r="G187" s="41"/>
      <c r="H187" s="41"/>
      <c r="I187" s="41"/>
      <c r="J187" s="41"/>
      <c r="K187" s="41"/>
      <c r="P187" s="55"/>
    </row>
    <row r="188" spans="1:16" x14ac:dyDescent="0.3">
      <c r="A188" s="39"/>
      <c r="B188" s="40"/>
      <c r="C188" s="40"/>
      <c r="D188" s="41"/>
      <c r="E188" s="41"/>
      <c r="F188" s="41"/>
      <c r="G188" s="41"/>
      <c r="H188" s="41"/>
      <c r="I188" s="41"/>
      <c r="J188" s="41"/>
      <c r="K188" s="41"/>
      <c r="P188" s="55"/>
    </row>
    <row r="189" spans="1:16" x14ac:dyDescent="0.3">
      <c r="A189" s="39"/>
      <c r="B189" s="40"/>
      <c r="C189" s="40"/>
      <c r="D189" s="41"/>
      <c r="E189" s="41"/>
      <c r="F189" s="41"/>
      <c r="G189" s="41"/>
      <c r="H189" s="41"/>
      <c r="I189" s="41"/>
      <c r="J189" s="41"/>
      <c r="K189" s="41"/>
      <c r="P189" s="55"/>
    </row>
    <row r="190" spans="1:16" x14ac:dyDescent="0.3">
      <c r="A190" s="39"/>
      <c r="B190" s="40"/>
      <c r="C190" s="40"/>
      <c r="D190" s="41"/>
      <c r="E190" s="41"/>
      <c r="F190" s="41"/>
      <c r="G190" s="41"/>
      <c r="H190" s="41"/>
      <c r="I190" s="41"/>
      <c r="J190" s="41"/>
      <c r="K190" s="41"/>
      <c r="P190" s="55"/>
    </row>
    <row r="191" spans="1:16" x14ac:dyDescent="0.3">
      <c r="A191" s="39"/>
      <c r="B191" s="40"/>
      <c r="C191" s="40"/>
      <c r="D191" s="41"/>
      <c r="E191" s="41"/>
      <c r="F191" s="41"/>
      <c r="G191" s="41"/>
      <c r="H191" s="41"/>
      <c r="I191" s="41"/>
      <c r="J191" s="41"/>
      <c r="K191" s="41"/>
      <c r="P191" s="55"/>
    </row>
    <row r="192" spans="1:16" x14ac:dyDescent="0.3">
      <c r="A192" s="39"/>
      <c r="B192" s="40"/>
      <c r="C192" s="40"/>
      <c r="D192" s="41"/>
      <c r="E192" s="41"/>
      <c r="F192" s="41"/>
      <c r="G192" s="41"/>
      <c r="H192" s="41"/>
      <c r="I192" s="41"/>
      <c r="J192" s="41"/>
      <c r="K192" s="41"/>
      <c r="P192" s="55"/>
    </row>
    <row r="193" spans="1:16" x14ac:dyDescent="0.3">
      <c r="A193" s="39"/>
      <c r="B193" s="40"/>
      <c r="C193" s="40"/>
      <c r="D193" s="41"/>
      <c r="E193" s="41"/>
      <c r="F193" s="41"/>
      <c r="G193" s="41"/>
      <c r="H193" s="41"/>
      <c r="I193" s="41"/>
      <c r="J193" s="41"/>
      <c r="K193" s="41"/>
      <c r="P193" s="55"/>
    </row>
    <row r="194" spans="1:16" x14ac:dyDescent="0.3">
      <c r="A194" s="39"/>
      <c r="B194" s="40"/>
      <c r="C194" s="40"/>
      <c r="D194" s="41"/>
      <c r="E194" s="41"/>
      <c r="F194" s="41"/>
      <c r="G194" s="41"/>
      <c r="H194" s="41"/>
      <c r="I194" s="41"/>
      <c r="J194" s="41"/>
      <c r="K194" s="41"/>
      <c r="P194" s="55"/>
    </row>
    <row r="195" spans="1:16" x14ac:dyDescent="0.3">
      <c r="A195" s="39"/>
      <c r="B195" s="40"/>
      <c r="C195" s="40"/>
      <c r="D195" s="41"/>
      <c r="E195" s="41"/>
      <c r="F195" s="41"/>
      <c r="G195" s="41"/>
      <c r="H195" s="41"/>
      <c r="I195" s="41"/>
      <c r="J195" s="41"/>
      <c r="K195" s="41"/>
      <c r="P195" s="55"/>
    </row>
    <row r="196" spans="1:16" x14ac:dyDescent="0.3">
      <c r="A196" s="39"/>
      <c r="B196" s="40"/>
      <c r="C196" s="40"/>
      <c r="D196" s="41"/>
      <c r="E196" s="41"/>
      <c r="F196" s="41"/>
      <c r="G196" s="41"/>
      <c r="H196" s="41"/>
      <c r="I196" s="41"/>
      <c r="J196" s="41"/>
      <c r="K196" s="41"/>
      <c r="P196" s="55"/>
    </row>
    <row r="197" spans="1:16" x14ac:dyDescent="0.3">
      <c r="A197" s="39"/>
      <c r="B197" s="40"/>
      <c r="C197" s="40"/>
      <c r="D197" s="41"/>
      <c r="E197" s="41"/>
      <c r="F197" s="41"/>
      <c r="G197" s="41"/>
      <c r="H197" s="41"/>
      <c r="I197" s="41"/>
      <c r="J197" s="41"/>
      <c r="K197" s="41"/>
      <c r="P197" s="55"/>
    </row>
  </sheetData>
  <protectedRanges>
    <protectedRange sqref="A2:K197" name="Eintraege_1"/>
  </protectedRanges>
  <autoFilter ref="A1:L97" xr:uid="{478A7EC0-23F2-4562-9A82-25A1DF39265B}"/>
  <sortState xmlns:xlrd2="http://schemas.microsoft.com/office/spreadsheetml/2017/richdata2" ref="O2:P197">
    <sortCondition ref="O2:O197"/>
  </sortState>
  <conditionalFormatting sqref="K2:K997">
    <cfRule type="expression" dxfId="1" priority="2">
      <formula>LEN(K2)&gt;120</formula>
    </cfRule>
  </conditionalFormatting>
  <conditionalFormatting sqref="L2:L97">
    <cfRule type="cellIs" dxfId="0" priority="1" operator="lessThan">
      <formula>0</formula>
    </cfRule>
  </conditionalFormatting>
  <dataValidations count="2">
    <dataValidation type="date" allowBlank="1" showInputMessage="1" showErrorMessage="1" sqref="A2:A197" xr:uid="{6CA1C0E4-7B57-4EAB-833C-6FAAEFA55243}">
      <formula1>1</formula1>
      <formula2>2958465</formula2>
    </dataValidation>
    <dataValidation type="time" allowBlank="1" showInputMessage="1" showErrorMessage="1" sqref="B1:C197" xr:uid="{4E1A9339-634B-4202-ABCD-760CCC1F1130}">
      <formula1>0</formula1>
      <formula2>0.999305555555556</formula2>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tn_IOTSave">
                <anchor moveWithCells="1" sizeWithCells="1">
                  <from>
                    <xdr:col>12</xdr:col>
                    <xdr:colOff>304800</xdr:colOff>
                    <xdr:row>0</xdr:row>
                    <xdr:rowOff>76200</xdr:rowOff>
                  </from>
                  <to>
                    <xdr:col>13</xdr:col>
                    <xdr:colOff>480060</xdr:colOff>
                    <xdr:row>0</xdr:row>
                    <xdr:rowOff>457200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kument" ma:contentTypeID="0x0101004E59BAA6F502A24D8B11469CA6E42858" ma:contentTypeVersion="0" ma:contentTypeDescription="Ein neues Dokument erstellen." ma:contentTypeScope="" ma:versionID="b4a902a1d67243582156ce9d178a0c7e">
  <xsd:schema xmlns:xsd="http://www.w3.org/2001/XMLSchema" xmlns:xs="http://www.w3.org/2001/XMLSchema" xmlns:p="http://schemas.microsoft.com/office/2006/metadata/properties" targetNamespace="http://schemas.microsoft.com/office/2006/metadata/properties" ma:root="true" ma:fieldsID="a8e5f6132a84e9339d89051515d204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083569-EE50-4ABA-9D79-023BE9A4D134}">
  <ds:schemaRefs>
    <ds:schemaRef ds:uri="http://schemas.microsoft.com/DataMashup"/>
  </ds:schemaRefs>
</ds:datastoreItem>
</file>

<file path=customXml/itemProps2.xml><?xml version="1.0" encoding="utf-8"?>
<ds:datastoreItem xmlns:ds="http://schemas.openxmlformats.org/officeDocument/2006/customXml" ds:itemID="{AB8999E0-D245-420F-8B2C-3F15FEC0FE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A66B9F2-5764-4B4F-9B67-697661A54F51}">
  <ds:schemaRefs>
    <ds:schemaRef ds:uri="http://schemas.microsoft.com/office/infopath/2007/PartnerControls"/>
    <ds:schemaRef ds:uri="http://purl.org/dc/dcmitype/"/>
    <ds:schemaRef ds:uri="http://www.w3.org/XML/1998/namespace"/>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729DFCBA-79A3-42A6-8F7C-4C63373A0EF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14</vt:i4>
      </vt:variant>
    </vt:vector>
  </HeadingPairs>
  <TitlesOfParts>
    <vt:vector size="18" baseType="lpstr">
      <vt:lpstr>Start</vt:lpstr>
      <vt:lpstr>Import</vt:lpstr>
      <vt:lpstr>CAS</vt:lpstr>
      <vt:lpstr>IOT</vt:lpstr>
      <vt:lpstr>CalYear</vt:lpstr>
      <vt:lpstr>ColumnTitleRegion1..H9.1</vt:lpstr>
      <vt:lpstr>ColumnTitleRegion10..P41.1</vt:lpstr>
      <vt:lpstr>ColumnTitleRegion11..H49.1</vt:lpstr>
      <vt:lpstr>ColumnTitleRegion12..P49.1</vt:lpstr>
      <vt:lpstr>ColumnTitleRegion2..P9.1</vt:lpstr>
      <vt:lpstr>ColumnTitleRegion3..H17.1</vt:lpstr>
      <vt:lpstr>ColumnTitleRegion4..P17.1</vt:lpstr>
      <vt:lpstr>ColumnTitleRegion5..H25.1</vt:lpstr>
      <vt:lpstr>ColumnTitleRegion6..P25.1</vt:lpstr>
      <vt:lpstr>ColumnTitleRegion7..H33.1</vt:lpstr>
      <vt:lpstr>ColumnTitleRegion8..P33.1</vt:lpstr>
      <vt:lpstr>ColumnTitleRegion9..H41.1</vt:lpstr>
      <vt:lpstr>Import!logexportdata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 Raht</dc:creator>
  <cp:lastModifiedBy>Benedikt Hölker</cp:lastModifiedBy>
  <dcterms:created xsi:type="dcterms:W3CDTF">2021-01-25T08:34:36Z</dcterms:created>
  <dcterms:modified xsi:type="dcterms:W3CDTF">2021-04-16T14:49:15Z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0x0101004E59BAA6F502A24D8B11469CA6E42858</vt:lpwstr>
  </property>
  <property fmtid="{D5CDD505-2E9C-101B-9397-08002B2CF9AE}" pid="3" name="WorkbookGuid">
    <vt:lpwstr>ad1ff462-ad21-44b4-b87f-895cf28e6f5c</vt:lpwstr>
  </property>
</Properties>
</file>